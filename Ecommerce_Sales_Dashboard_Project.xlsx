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user\OneDrive\Desktop\"/>
    </mc:Choice>
  </mc:AlternateContent>
  <xr:revisionPtr revIDLastSave="0" documentId="13_ncr:1_{5396052E-1E02-4935-8DDB-1B1D2E910FC3}" xr6:coauthVersionLast="47" xr6:coauthVersionMax="47" xr10:uidLastSave="{00000000-0000-0000-0000-000000000000}"/>
  <bookViews>
    <workbookView xWindow="-108" yWindow="-108" windowWidth="23256" windowHeight="12456" activeTab="3" xr2:uid="{DA377A63-6886-4A86-94E5-B8999511E8B7}"/>
  </bookViews>
  <sheets>
    <sheet name="Raw_Data" sheetId="1" r:id="rId1"/>
    <sheet name="Cleaned_Data" sheetId="2" r:id="rId2"/>
    <sheet name="Pivot_Tables" sheetId="3" r:id="rId3"/>
    <sheet name="Dashboard" sheetId="4" r:id="rId4"/>
  </sheets>
  <definedNames>
    <definedName name="_xlcn.WorksheetConnection_Pivot_TablesA32B521" hidden="1">Pivot_Tables!$A$32:$B$52</definedName>
    <definedName name="_xlcn.WorksheetConnection_Pivot_TablesN2O221" hidden="1">Pivot_Tables!$N$2:$O$22</definedName>
    <definedName name="Slicer_Category">#N/A</definedName>
    <definedName name="Slicer_State">#N/A</definedName>
  </definedNames>
  <calcPr calcId="191029"/>
  <pivotCaches>
    <pivotCache cacheId="0" r:id="rId5"/>
    <pivotCache cacheId="1" r:id="rId6"/>
    <pivotCache cacheId="85" r:id="rId7"/>
    <pivotCache cacheId="88"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Pivot_Tables!$N$2:$O$22"/>
          <x15:modelTable id="Range 1" name="Range 1" connection="WorksheetConnection_Pivot_Tables!$A$32:$B$5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5" i="4" l="1"/>
  <c r="A5" i="4"/>
  <c r="N53" i="3"/>
  <c r="N51" i="3"/>
  <c r="N50" i="3"/>
  <c r="N49" i="3"/>
  <c r="N48" i="3"/>
  <c r="N46" i="3"/>
  <c r="N45" i="3"/>
  <c r="N44" i="3"/>
  <c r="N43" i="3"/>
  <c r="N41" i="3"/>
  <c r="N40" i="3"/>
  <c r="N38" i="3"/>
  <c r="N36" i="3"/>
  <c r="K2" i="2"/>
  <c r="K3" i="2"/>
  <c r="K4" i="2"/>
  <c r="K5" i="2"/>
  <c r="K6" i="2"/>
  <c r="K7" i="2"/>
  <c r="K8" i="2"/>
  <c r="K9" i="2"/>
  <c r="K10" i="2"/>
  <c r="K11" i="2"/>
  <c r="K12" i="2"/>
  <c r="K13" i="2"/>
  <c r="K14" i="2"/>
  <c r="K15" i="2"/>
  <c r="K16" i="2"/>
  <c r="K17" i="2"/>
  <c r="K18" i="2"/>
  <c r="K19" i="2"/>
  <c r="K20" i="2"/>
  <c r="K21" i="2"/>
  <c r="J2" i="2"/>
  <c r="J3" i="2"/>
  <c r="J4" i="2"/>
  <c r="J5" i="2"/>
  <c r="J6" i="2"/>
  <c r="J7" i="2"/>
  <c r="J8" i="2"/>
  <c r="J9" i="2"/>
  <c r="J10" i="2"/>
  <c r="J11" i="2"/>
  <c r="J12" i="2"/>
  <c r="J13" i="2"/>
  <c r="J14" i="2"/>
  <c r="J15" i="2"/>
  <c r="J16" i="2"/>
  <c r="J17" i="2"/>
  <c r="J18" i="2"/>
  <c r="J19" i="2"/>
  <c r="J20" i="2"/>
  <c r="J21" i="2"/>
  <c r="I2" i="2"/>
  <c r="I3" i="2"/>
  <c r="I4" i="2"/>
  <c r="I5" i="2"/>
  <c r="I6" i="2"/>
  <c r="I7" i="2"/>
  <c r="I8" i="2"/>
  <c r="I9" i="2"/>
  <c r="I10" i="2"/>
  <c r="I11" i="2"/>
  <c r="I12" i="2"/>
  <c r="I13" i="2"/>
  <c r="I14" i="2"/>
  <c r="I15" i="2"/>
  <c r="I16" i="2"/>
  <c r="I17" i="2"/>
  <c r="I18" i="2"/>
  <c r="I19" i="2"/>
  <c r="I20" i="2"/>
  <c r="I21" i="2"/>
  <c r="H2" i="2"/>
  <c r="H3" i="2"/>
  <c r="H4" i="2"/>
  <c r="H5" i="2"/>
  <c r="H6" i="2"/>
  <c r="H7" i="2"/>
  <c r="H8" i="2"/>
  <c r="H9" i="2"/>
  <c r="H10" i="2"/>
  <c r="H11" i="2"/>
  <c r="H12" i="2"/>
  <c r="H13" i="2"/>
  <c r="H14" i="2"/>
  <c r="H15" i="2"/>
  <c r="H16" i="2"/>
  <c r="H17" i="2"/>
  <c r="H18" i="2"/>
  <c r="H19" i="2"/>
  <c r="H20" i="2"/>
  <c r="H2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7F45EB-F54A-4AA3-9EF0-13141F6F5CE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2B1E210-F713-4454-A5C8-B2CB8E6E1A72}" name="WorksheetConnection_Pivot_Tables!$A$32:$B$52" type="102" refreshedVersion="8" minRefreshableVersion="5">
    <extLst>
      <ext xmlns:x15="http://schemas.microsoft.com/office/spreadsheetml/2010/11/main" uri="{DE250136-89BD-433C-8126-D09CA5730AF9}">
        <x15:connection id="Range 1" autoDelete="1">
          <x15:rangePr sourceName="_xlcn.WorksheetConnection_Pivot_TablesA32B521"/>
        </x15:connection>
      </ext>
    </extLst>
  </connection>
  <connection id="3" xr16:uid="{28FB15B4-ECE1-4999-8AFA-95DE8B700988}" name="WorksheetConnection_Pivot_Tables!$N$2:$O$22" type="102" refreshedVersion="8" minRefreshableVersion="5">
    <extLst>
      <ext xmlns:x15="http://schemas.microsoft.com/office/spreadsheetml/2010/11/main" uri="{DE250136-89BD-433C-8126-D09CA5730AF9}">
        <x15:connection id="Range" autoDelete="1">
          <x15:rangePr sourceName="_xlcn.WorksheetConnection_Pivot_TablesN2O221"/>
        </x15:connection>
      </ext>
    </extLst>
  </connection>
</connections>
</file>

<file path=xl/sharedStrings.xml><?xml version="1.0" encoding="utf-8"?>
<sst xmlns="http://schemas.openxmlformats.org/spreadsheetml/2006/main" count="257" uniqueCount="52">
  <si>
    <t>Order_ID</t>
  </si>
  <si>
    <t>Product</t>
  </si>
  <si>
    <t>Category</t>
  </si>
  <si>
    <t>State</t>
  </si>
  <si>
    <t>Quantity</t>
  </si>
  <si>
    <t>Price</t>
  </si>
  <si>
    <t>Sales</t>
  </si>
  <si>
    <t>Laptop</t>
  </si>
  <si>
    <t>Electronics</t>
  </si>
  <si>
    <t>Maharashtra</t>
  </si>
  <si>
    <t>Shoes</t>
  </si>
  <si>
    <t>Fashion</t>
  </si>
  <si>
    <t>Delhi</t>
  </si>
  <si>
    <t>Mobile</t>
  </si>
  <si>
    <t>Gujarat</t>
  </si>
  <si>
    <t>Watch</t>
  </si>
  <si>
    <t>Accessories</t>
  </si>
  <si>
    <t>T-shirt</t>
  </si>
  <si>
    <t>Karnataka</t>
  </si>
  <si>
    <t>Bag</t>
  </si>
  <si>
    <t>Headphones</t>
  </si>
  <si>
    <t>Saree</t>
  </si>
  <si>
    <t>Backpack</t>
  </si>
  <si>
    <t>Tablet</t>
  </si>
  <si>
    <t>Kurta</t>
  </si>
  <si>
    <t>Smartwatch</t>
  </si>
  <si>
    <t>Belt</t>
  </si>
  <si>
    <t>Jeans</t>
  </si>
  <si>
    <t>Camera</t>
  </si>
  <si>
    <t>Handbag</t>
  </si>
  <si>
    <t>Discount</t>
  </si>
  <si>
    <t>Profit</t>
  </si>
  <si>
    <t>Gst</t>
  </si>
  <si>
    <t>Sales Type</t>
  </si>
  <si>
    <t>Row Labels</t>
  </si>
  <si>
    <t>Grand Total</t>
  </si>
  <si>
    <t>Sum of Sales</t>
  </si>
  <si>
    <t>High Sales</t>
  </si>
  <si>
    <t>Low Sales</t>
  </si>
  <si>
    <t>Count of Sales Type</t>
  </si>
  <si>
    <t>E-Commerce Sales Dashboard</t>
  </si>
  <si>
    <t>Total Sales</t>
  </si>
  <si>
    <t>Total Orders</t>
  </si>
  <si>
    <t>Top Category</t>
  </si>
  <si>
    <t>Electroncis</t>
  </si>
  <si>
    <t>Top State</t>
  </si>
  <si>
    <t>Busniess Insights</t>
  </si>
  <si>
    <t>* Maharashtra generated the highest sales.</t>
  </si>
  <si>
    <t>* Electronics is the best performing category.</t>
  </si>
  <si>
    <t>* Laptop is the highest revenue product.</t>
  </si>
  <si>
    <t>* Accessories contributed the lowest revenue.</t>
  </si>
  <si>
    <t>* High Sales orders contributed most of the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</si>
</sst>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1" x14ac:knownFonts="1">
    <font>
      <sz val="11"/>
      <color theme="1"/>
      <name val="Aptos Narrow"/>
      <family val="2"/>
      <scheme val="minor"/>
    </font>
    <font>
      <b/>
      <sz val="11"/>
      <color theme="0"/>
      <name val="Aptos Narrow"/>
      <family val="2"/>
      <scheme val="minor"/>
    </font>
    <font>
      <b/>
      <sz val="11"/>
      <color theme="1"/>
      <name val="Aptos Narrow"/>
      <family val="2"/>
      <scheme val="minor"/>
    </font>
    <font>
      <b/>
      <sz val="14"/>
      <color theme="1"/>
      <name val="Aptos Narrow"/>
      <family val="2"/>
      <scheme val="minor"/>
    </font>
    <font>
      <b/>
      <sz val="24"/>
      <color theme="1"/>
      <name val="Aptos Narrow"/>
      <family val="2"/>
      <scheme val="minor"/>
    </font>
    <font>
      <b/>
      <sz val="26"/>
      <color theme="1"/>
      <name val="Aptos Narrow"/>
      <family val="2"/>
      <scheme val="minor"/>
    </font>
    <font>
      <sz val="18"/>
      <color theme="1"/>
      <name val="Aptos Narrow"/>
      <family val="2"/>
      <scheme val="minor"/>
    </font>
    <font>
      <b/>
      <sz val="28"/>
      <color theme="1"/>
      <name val="Aptos Narrow"/>
      <family val="2"/>
      <scheme val="minor"/>
    </font>
    <font>
      <b/>
      <sz val="36"/>
      <color theme="1"/>
      <name val="Aptos Narrow"/>
      <family val="2"/>
      <scheme val="minor"/>
    </font>
    <font>
      <b/>
      <sz val="36"/>
      <color rgb="FF002060"/>
      <name val="Aptos Narrow"/>
      <family val="2"/>
      <scheme val="minor"/>
    </font>
    <font>
      <sz val="28"/>
      <color theme="1"/>
      <name val="Aptos Narrow"/>
      <family val="2"/>
      <scheme val="minor"/>
    </font>
  </fonts>
  <fills count="7">
    <fill>
      <patternFill patternType="none"/>
    </fill>
    <fill>
      <patternFill patternType="gray125"/>
    </fill>
    <fill>
      <patternFill patternType="solid">
        <fgColor theme="5" tint="0.79998168889431442"/>
        <bgColor theme="5" tint="0.79998168889431442"/>
      </patternFill>
    </fill>
    <fill>
      <patternFill patternType="solid">
        <fgColor rgb="FF002060"/>
        <bgColor indexed="64"/>
      </patternFill>
    </fill>
    <fill>
      <patternFill patternType="solid">
        <fgColor theme="9" tint="0.79998168889431442"/>
        <bgColor indexed="64"/>
      </patternFill>
    </fill>
    <fill>
      <patternFill patternType="solid">
        <fgColor theme="2"/>
        <bgColor indexed="64"/>
      </patternFill>
    </fill>
    <fill>
      <patternFill patternType="solid">
        <fgColor theme="3" tint="0.89999084444715716"/>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theme="5" tint="0.39997558519241921"/>
      </top>
      <bottom style="thin">
        <color indexed="64"/>
      </bottom>
      <diagonal/>
    </border>
    <border>
      <left style="thin">
        <color indexed="64"/>
      </left>
      <right style="thin">
        <color theme="5" tint="0.39997558519241921"/>
      </right>
      <top style="thin">
        <color theme="5" tint="0.39997558519241921"/>
      </top>
      <bottom style="thin">
        <color indexed="64"/>
      </bottom>
      <diagonal/>
    </border>
    <border>
      <left style="thin">
        <color indexed="64"/>
      </left>
      <right style="thin">
        <color theme="5" tint="0.39997558519241921"/>
      </right>
      <top style="thin">
        <color indexed="64"/>
      </top>
      <bottom style="thin">
        <color indexed="64"/>
      </bottom>
      <diagonal/>
    </border>
    <border>
      <left style="thin">
        <color indexed="64"/>
      </left>
      <right style="thin">
        <color indexed="64"/>
      </right>
      <top style="thin">
        <color indexed="64"/>
      </top>
      <bottom style="thin">
        <color theme="5" tint="0.39997558519241921"/>
      </bottom>
      <diagonal/>
    </border>
    <border>
      <left style="thin">
        <color indexed="64"/>
      </left>
      <right style="thin">
        <color theme="5" tint="0.39997558519241921"/>
      </right>
      <top style="thin">
        <color indexed="64"/>
      </top>
      <bottom style="thin">
        <color theme="5" tint="0.39997558519241921"/>
      </bottom>
      <diagonal/>
    </border>
    <border>
      <left/>
      <right/>
      <top style="thin">
        <color indexed="64"/>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55">
    <xf numFmtId="0" fontId="0" fillId="0" borderId="0" xfId="0"/>
    <xf numFmtId="164" fontId="0" fillId="0" borderId="0" xfId="0" applyNumberFormat="1"/>
    <xf numFmtId="0" fontId="0" fillId="3" borderId="2" xfId="0" applyFill="1" applyBorder="1" applyAlignment="1">
      <alignment horizontal="center"/>
    </xf>
    <xf numFmtId="0" fontId="0" fillId="3" borderId="3" xfId="0" applyFill="1" applyBorder="1" applyAlignment="1">
      <alignment horizontal="center"/>
    </xf>
    <xf numFmtId="0" fontId="0" fillId="0" borderId="5" xfId="0" applyBorder="1" applyAlignment="1">
      <alignment horizontal="center"/>
    </xf>
    <xf numFmtId="0" fontId="0" fillId="0" borderId="1" xfId="0" applyBorder="1" applyAlignment="1">
      <alignment horizontal="center"/>
    </xf>
    <xf numFmtId="164" fontId="0" fillId="0" borderId="6"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64" fontId="0" fillId="0" borderId="9" xfId="0" applyNumberFormat="1" applyBorder="1" applyAlignment="1">
      <alignment horizontal="center"/>
    </xf>
    <xf numFmtId="164" fontId="0" fillId="0" borderId="1" xfId="0" applyNumberFormat="1" applyBorder="1" applyAlignment="1">
      <alignment horizontal="center"/>
    </xf>
    <xf numFmtId="164" fontId="0" fillId="0" borderId="8" xfId="0" applyNumberFormat="1" applyBorder="1" applyAlignment="1">
      <alignment horizontal="center"/>
    </xf>
    <xf numFmtId="164" fontId="0" fillId="3" borderId="3" xfId="0" applyNumberFormat="1" applyFill="1" applyBorder="1" applyAlignment="1">
      <alignment horizontal="center"/>
    </xf>
    <xf numFmtId="0" fontId="0" fillId="3" borderId="4" xfId="0" applyFill="1" applyBorder="1" applyAlignment="1">
      <alignment horizontal="center"/>
    </xf>
    <xf numFmtId="0" fontId="1" fillId="3" borderId="10" xfId="0" applyFont="1" applyFill="1" applyBorder="1" applyAlignment="1">
      <alignment horizontal="center"/>
    </xf>
    <xf numFmtId="0" fontId="0" fillId="2" borderId="1" xfId="0" applyFill="1" applyBorder="1" applyAlignment="1">
      <alignment horizontal="center"/>
    </xf>
    <xf numFmtId="0" fontId="0" fillId="0" borderId="13" xfId="0" applyBorder="1" applyAlignment="1">
      <alignment horizontal="center"/>
    </xf>
    <xf numFmtId="164" fontId="0" fillId="2" borderId="1" xfId="0" applyNumberFormat="1" applyFill="1" applyBorder="1" applyAlignment="1">
      <alignment horizontal="center"/>
    </xf>
    <xf numFmtId="164" fontId="0" fillId="0" borderId="13" xfId="0" applyNumberFormat="1" applyBorder="1" applyAlignment="1">
      <alignment horizontal="center"/>
    </xf>
    <xf numFmtId="164" fontId="1" fillId="3" borderId="10" xfId="0" applyNumberFormat="1" applyFont="1" applyFill="1" applyBorder="1" applyAlignment="1">
      <alignment horizontal="center"/>
    </xf>
    <xf numFmtId="0" fontId="0" fillId="0" borderId="0" xfId="0" pivotButton="1"/>
    <xf numFmtId="0" fontId="0" fillId="0" borderId="0" xfId="0" applyAlignment="1">
      <alignment horizontal="left"/>
    </xf>
    <xf numFmtId="0" fontId="1" fillId="3" borderId="11" xfId="0" applyFont="1" applyFill="1" applyBorder="1" applyAlignment="1">
      <alignment horizontal="center"/>
    </xf>
    <xf numFmtId="164" fontId="0" fillId="2" borderId="12" xfId="0" applyNumberFormat="1" applyFill="1" applyBorder="1" applyAlignment="1">
      <alignment horizontal="center"/>
    </xf>
    <xf numFmtId="164" fontId="0" fillId="0" borderId="12" xfId="0" applyNumberFormat="1" applyBorder="1" applyAlignment="1">
      <alignment horizontal="center"/>
    </xf>
    <xf numFmtId="164" fontId="0" fillId="0" borderId="14" xfId="0" applyNumberFormat="1" applyBorder="1" applyAlignment="1">
      <alignment horizontal="center"/>
    </xf>
    <xf numFmtId="0" fontId="3" fillId="0" borderId="0" xfId="0" applyFont="1" applyAlignment="1">
      <alignment horizontal="center" vertical="center"/>
    </xf>
    <xf numFmtId="0" fontId="2" fillId="0" borderId="0" xfId="0" applyFont="1"/>
    <xf numFmtId="0" fontId="0" fillId="0" borderId="0" xfId="0" applyNumberFormat="1"/>
    <xf numFmtId="0" fontId="0" fillId="0" borderId="18" xfId="0" applyBorder="1"/>
    <xf numFmtId="0" fontId="9" fillId="4" borderId="9" xfId="0" applyFont="1" applyFill="1" applyBorder="1" applyAlignment="1">
      <alignment horizontal="center" vertical="center"/>
    </xf>
    <xf numFmtId="0" fontId="9" fillId="4" borderId="15"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16" xfId="0" applyFont="1" applyFill="1" applyBorder="1" applyAlignment="1">
      <alignment horizontal="center" vertical="center"/>
    </xf>
    <xf numFmtId="0" fontId="9" fillId="4" borderId="2" xfId="0" applyFont="1" applyFill="1" applyBorder="1" applyAlignment="1">
      <alignment horizontal="center" vertical="center"/>
    </xf>
    <xf numFmtId="0" fontId="10" fillId="6" borderId="19" xfId="0" applyFont="1" applyFill="1" applyBorder="1" applyAlignment="1">
      <alignment horizontal="left"/>
    </xf>
    <xf numFmtId="0" fontId="10" fillId="6" borderId="18" xfId="0" applyFont="1" applyFill="1" applyBorder="1" applyAlignment="1">
      <alignment horizontal="left"/>
    </xf>
    <xf numFmtId="0" fontId="10" fillId="6" borderId="20" xfId="0" applyFont="1" applyFill="1" applyBorder="1" applyAlignment="1">
      <alignment horizontal="left"/>
    </xf>
    <xf numFmtId="0" fontId="6" fillId="0" borderId="0" xfId="0" applyFont="1"/>
    <xf numFmtId="0" fontId="8" fillId="5" borderId="17" xfId="0" applyFont="1" applyFill="1" applyBorder="1"/>
    <xf numFmtId="0" fontId="8" fillId="0" borderId="9" xfId="0" applyFont="1" applyBorder="1" applyAlignment="1">
      <alignment horizontal="center" vertical="center"/>
    </xf>
    <xf numFmtId="0" fontId="8" fillId="0" borderId="7" xfId="0" applyFont="1" applyBorder="1" applyAlignment="1">
      <alignment horizontal="center" vertical="center"/>
    </xf>
    <xf numFmtId="0" fontId="8" fillId="0" borderId="4" xfId="0" applyFont="1" applyBorder="1" applyAlignment="1">
      <alignment horizontal="center" vertical="center"/>
    </xf>
    <xf numFmtId="0" fontId="8" fillId="0" borderId="2" xfId="0" applyFont="1" applyBorder="1" applyAlignment="1">
      <alignment horizontal="center" vertical="center"/>
    </xf>
    <xf numFmtId="164" fontId="8" fillId="0" borderId="9" xfId="0" applyNumberFormat="1" applyFont="1" applyBorder="1" applyAlignment="1">
      <alignment horizontal="center" vertical="center"/>
    </xf>
    <xf numFmtId="164" fontId="8" fillId="0" borderId="7" xfId="0" applyNumberFormat="1" applyFont="1" applyBorder="1" applyAlignment="1">
      <alignment horizontal="center" vertical="center"/>
    </xf>
    <xf numFmtId="164" fontId="8" fillId="0" borderId="4" xfId="0" applyNumberFormat="1" applyFont="1" applyBorder="1" applyAlignment="1">
      <alignment horizontal="center" vertical="center"/>
    </xf>
    <xf numFmtId="164" fontId="8" fillId="0" borderId="2" xfId="0" applyNumberFormat="1" applyFont="1" applyBorder="1" applyAlignment="1">
      <alignment horizontal="center" vertical="center"/>
    </xf>
    <xf numFmtId="0" fontId="7" fillId="0" borderId="6" xfId="0" applyFont="1" applyBorder="1" applyAlignment="1">
      <alignment horizontal="center"/>
    </xf>
    <xf numFmtId="0" fontId="7" fillId="0" borderId="5" xfId="0" applyFont="1" applyBorder="1" applyAlignment="1">
      <alignment horizontal="center"/>
    </xf>
    <xf numFmtId="0" fontId="4" fillId="0" borderId="6" xfId="0" applyFont="1" applyBorder="1" applyAlignment="1">
      <alignment horizontal="center"/>
    </xf>
    <xf numFmtId="0" fontId="4" fillId="0" borderId="5" xfId="0" applyFont="1" applyBorder="1" applyAlignment="1">
      <alignment horizontal="center"/>
    </xf>
    <xf numFmtId="0" fontId="5" fillId="0" borderId="6" xfId="0" applyFont="1" applyBorder="1" applyAlignment="1">
      <alignment horizontal="center"/>
    </xf>
    <xf numFmtId="0" fontId="5" fillId="0" borderId="5" xfId="0" applyFont="1" applyBorder="1" applyAlignment="1">
      <alignment horizontal="center"/>
    </xf>
  </cellXfs>
  <cellStyles count="1">
    <cellStyle name="Normal" xfId="0" builtinId="0"/>
  </cellStyles>
  <dxfs count="19">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numFmt numFmtId="164" formatCode="&quot;₹&quot;\ #,##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quot;₹&quot;\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quot;₹&quot;\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alignment horizontal="center" vertical="bottom" textRotation="0" wrapText="0" indent="0" justifyLastLine="0" shrinkToFit="0" readingOrder="0"/>
    </dxf>
    <dxf>
      <border>
        <bottom style="thin">
          <color indexed="64"/>
        </bottom>
      </border>
    </dxf>
    <dxf>
      <font>
        <b val="0"/>
        <i val="0"/>
        <strike val="0"/>
        <outline val="0"/>
        <shadow val="0"/>
        <u val="none"/>
        <vertAlign val="baseline"/>
        <sz val="11"/>
        <color theme="1"/>
        <name val="Aptos Narrow"/>
        <family val="2"/>
        <scheme val="minor"/>
      </font>
      <fill>
        <patternFill patternType="solid">
          <fgColor indexed="64"/>
          <bgColor rgb="FF002060"/>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[Ecommerce_Sales_Dashboard_Project.xlsx]Pivot_Tables!PivotTable1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Pivot_Tables!$G$3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Pivot_Tables!$F$4:$F$5</c:f>
              <c:strCache>
                <c:ptCount val="1"/>
                <c:pt idx="0">
                  <c:v>Electronics</c:v>
                </c:pt>
              </c:strCache>
            </c:strRef>
          </c:cat>
          <c:val>
            <c:numRef>
              <c:f>Pivot_Tables!$G$4:$G$5</c:f>
              <c:numCache>
                <c:formatCode>"₹"\ #,##0.00</c:formatCode>
                <c:ptCount val="1"/>
                <c:pt idx="0">
                  <c:v>380000</c:v>
                </c:pt>
              </c:numCache>
            </c:numRef>
          </c:val>
          <c:extLst>
            <c:ext xmlns:c16="http://schemas.microsoft.com/office/drawing/2014/chart" uri="{C3380CC4-5D6E-409C-BE32-E72D297353CC}">
              <c16:uniqueId val="{00000000-CC5A-47EB-A4A0-73BEB1C970E3}"/>
            </c:ext>
          </c:extLst>
        </c:ser>
        <c:dLbls>
          <c:dLblPos val="inEnd"/>
          <c:showLegendKey val="0"/>
          <c:showVal val="1"/>
          <c:showCatName val="0"/>
          <c:showSerName val="0"/>
          <c:showPercent val="0"/>
          <c:showBubbleSize val="0"/>
        </c:dLbls>
        <c:gapWidth val="65"/>
        <c:axId val="716994304"/>
        <c:axId val="717000064"/>
      </c:barChart>
      <c:catAx>
        <c:axId val="7169943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17000064"/>
        <c:crosses val="autoZero"/>
        <c:auto val="1"/>
        <c:lblAlgn val="ctr"/>
        <c:lblOffset val="100"/>
        <c:noMultiLvlLbl val="0"/>
      </c:catAx>
      <c:valAx>
        <c:axId val="717000064"/>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169943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[Ecommerce_Sales_Dashboard_Project.xlsx]Pivot_Tables!PivotTable4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pivotFmt>
    </c:pivotFmts>
    <c:plotArea>
      <c:layout/>
      <c:pieChart>
        <c:varyColors val="1"/>
        <c:ser>
          <c:idx val="0"/>
          <c:order val="0"/>
          <c:tx>
            <c:strRef>
              <c:f>Pivot_Tables!$T$7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C12C-4EBD-AA3B-5A97C39A330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Pivot_Tables!$S$8:$S$9</c:f>
              <c:strCache>
                <c:ptCount val="1"/>
                <c:pt idx="0">
                  <c:v>Gujarat</c:v>
                </c:pt>
              </c:strCache>
            </c:strRef>
          </c:cat>
          <c:val>
            <c:numRef>
              <c:f>Pivot_Tables!$T$8:$T$9</c:f>
              <c:numCache>
                <c:formatCode>General</c:formatCode>
                <c:ptCount val="1"/>
                <c:pt idx="0">
                  <c:v>74000</c:v>
                </c:pt>
              </c:numCache>
            </c:numRef>
          </c:val>
          <c:extLst>
            <c:ext xmlns:c16="http://schemas.microsoft.com/office/drawing/2014/chart" uri="{C3380CC4-5D6E-409C-BE32-E72D297353CC}">
              <c16:uniqueId val="{00000000-C12C-4EBD-AA3B-5A97C39A330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[Ecommerce_Sales_Dashboard_Project.xlsx]Pivot_Tables!PivotTable5</c:name>
    <c:fmtId val="0"/>
  </c:pivotSource>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Pivot_Tables!$G$36</c:f>
              <c:strCache>
                <c:ptCount val="1"/>
                <c:pt idx="0">
                  <c:v>Total</c:v>
                </c:pt>
              </c:strCache>
            </c:strRef>
          </c:tx>
          <c:spPr>
            <a:solidFill>
              <a:schemeClr val="accent1">
                <a:alpha val="70000"/>
              </a:schemeClr>
            </a:solidFill>
            <a:ln>
              <a:noFill/>
            </a:ln>
            <a:effectLst/>
          </c:spPr>
          <c:invertIfNegative val="0"/>
          <c:cat>
            <c:strRef>
              <c:f>Pivot_Tables!$F$37:$F$53</c:f>
              <c:strCache>
                <c:ptCount val="16"/>
                <c:pt idx="0">
                  <c:v>Backpack</c:v>
                </c:pt>
                <c:pt idx="1">
                  <c:v>Bag</c:v>
                </c:pt>
                <c:pt idx="2">
                  <c:v>Belt</c:v>
                </c:pt>
                <c:pt idx="3">
                  <c:v>Camera</c:v>
                </c:pt>
                <c:pt idx="4">
                  <c:v>Handbag</c:v>
                </c:pt>
                <c:pt idx="5">
                  <c:v>Headphones</c:v>
                </c:pt>
                <c:pt idx="6">
                  <c:v>Jeans</c:v>
                </c:pt>
                <c:pt idx="7">
                  <c:v>Kurta</c:v>
                </c:pt>
                <c:pt idx="8">
                  <c:v>Laptop</c:v>
                </c:pt>
                <c:pt idx="9">
                  <c:v>Mobile</c:v>
                </c:pt>
                <c:pt idx="10">
                  <c:v>Saree</c:v>
                </c:pt>
                <c:pt idx="11">
                  <c:v>Shoes</c:v>
                </c:pt>
                <c:pt idx="12">
                  <c:v>Smartwatch</c:v>
                </c:pt>
                <c:pt idx="13">
                  <c:v>Tablet</c:v>
                </c:pt>
                <c:pt idx="14">
                  <c:v>T-shirt</c:v>
                </c:pt>
                <c:pt idx="15">
                  <c:v>Watch</c:v>
                </c:pt>
              </c:strCache>
            </c:strRef>
          </c:cat>
          <c:val>
            <c:numRef>
              <c:f>Pivot_Tables!$G$37:$G$53</c:f>
              <c:numCache>
                <c:formatCode>General</c:formatCode>
                <c:ptCount val="16"/>
                <c:pt idx="0">
                  <c:v>5400</c:v>
                </c:pt>
                <c:pt idx="1">
                  <c:v>3000</c:v>
                </c:pt>
                <c:pt idx="2">
                  <c:v>4200</c:v>
                </c:pt>
                <c:pt idx="3">
                  <c:v>60000</c:v>
                </c:pt>
                <c:pt idx="4">
                  <c:v>10000</c:v>
                </c:pt>
                <c:pt idx="5">
                  <c:v>16000</c:v>
                </c:pt>
                <c:pt idx="6">
                  <c:v>7200</c:v>
                </c:pt>
                <c:pt idx="7">
                  <c:v>6000</c:v>
                </c:pt>
                <c:pt idx="8">
                  <c:v>155000</c:v>
                </c:pt>
                <c:pt idx="9">
                  <c:v>80000</c:v>
                </c:pt>
                <c:pt idx="10">
                  <c:v>7000</c:v>
                </c:pt>
                <c:pt idx="11">
                  <c:v>19200</c:v>
                </c:pt>
                <c:pt idx="12">
                  <c:v>24000</c:v>
                </c:pt>
                <c:pt idx="13">
                  <c:v>45000</c:v>
                </c:pt>
                <c:pt idx="14">
                  <c:v>4000</c:v>
                </c:pt>
                <c:pt idx="15">
                  <c:v>19000</c:v>
                </c:pt>
              </c:numCache>
            </c:numRef>
          </c:val>
          <c:extLst>
            <c:ext xmlns:c16="http://schemas.microsoft.com/office/drawing/2014/chart" uri="{C3380CC4-5D6E-409C-BE32-E72D297353CC}">
              <c16:uniqueId val="{00000000-EE40-49D9-AC48-2048B48C70F1}"/>
            </c:ext>
          </c:extLst>
        </c:ser>
        <c:dLbls>
          <c:showLegendKey val="0"/>
          <c:showVal val="0"/>
          <c:showCatName val="0"/>
          <c:showSerName val="0"/>
          <c:showPercent val="0"/>
          <c:showBubbleSize val="0"/>
        </c:dLbls>
        <c:gapWidth val="80"/>
        <c:overlap val="25"/>
        <c:axId val="920202304"/>
        <c:axId val="920199904"/>
      </c:barChart>
      <c:catAx>
        <c:axId val="92020230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20199904"/>
        <c:crosses val="autoZero"/>
        <c:auto val="1"/>
        <c:lblAlgn val="ctr"/>
        <c:lblOffset val="100"/>
        <c:noMultiLvlLbl val="0"/>
      </c:catAx>
      <c:valAx>
        <c:axId val="920199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2020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[Ecommerce_Sales_Dashboard_Project.xlsx]Pivot_Tables!PivotTable5</c:name>
    <c:fmtId val="4"/>
  </c:pivotSource>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99858796236553E-2"/>
          <c:y val="0.2766881937412195"/>
          <c:w val="0.83441378399332189"/>
          <c:h val="0.47786761726571642"/>
        </c:manualLayout>
      </c:layout>
      <c:barChart>
        <c:barDir val="col"/>
        <c:grouping val="clustered"/>
        <c:varyColors val="0"/>
        <c:ser>
          <c:idx val="0"/>
          <c:order val="0"/>
          <c:tx>
            <c:strRef>
              <c:f>Pivot_Tables!$G$36</c:f>
              <c:strCache>
                <c:ptCount val="1"/>
                <c:pt idx="0">
                  <c:v>Total</c:v>
                </c:pt>
              </c:strCache>
            </c:strRef>
          </c:tx>
          <c:spPr>
            <a:solidFill>
              <a:schemeClr val="accent1">
                <a:alpha val="70000"/>
              </a:schemeClr>
            </a:solidFill>
            <a:ln>
              <a:noFill/>
            </a:ln>
            <a:effectLst/>
          </c:spPr>
          <c:invertIfNegative val="0"/>
          <c:cat>
            <c:strRef>
              <c:f>Pivot_Tables!$F$37:$F$53</c:f>
              <c:strCache>
                <c:ptCount val="16"/>
                <c:pt idx="0">
                  <c:v>Backpack</c:v>
                </c:pt>
                <c:pt idx="1">
                  <c:v>Bag</c:v>
                </c:pt>
                <c:pt idx="2">
                  <c:v>Belt</c:v>
                </c:pt>
                <c:pt idx="3">
                  <c:v>Camera</c:v>
                </c:pt>
                <c:pt idx="4">
                  <c:v>Handbag</c:v>
                </c:pt>
                <c:pt idx="5">
                  <c:v>Headphones</c:v>
                </c:pt>
                <c:pt idx="6">
                  <c:v>Jeans</c:v>
                </c:pt>
                <c:pt idx="7">
                  <c:v>Kurta</c:v>
                </c:pt>
                <c:pt idx="8">
                  <c:v>Laptop</c:v>
                </c:pt>
                <c:pt idx="9">
                  <c:v>Mobile</c:v>
                </c:pt>
                <c:pt idx="10">
                  <c:v>Saree</c:v>
                </c:pt>
                <c:pt idx="11">
                  <c:v>Shoes</c:v>
                </c:pt>
                <c:pt idx="12">
                  <c:v>Smartwatch</c:v>
                </c:pt>
                <c:pt idx="13">
                  <c:v>Tablet</c:v>
                </c:pt>
                <c:pt idx="14">
                  <c:v>T-shirt</c:v>
                </c:pt>
                <c:pt idx="15">
                  <c:v>Watch</c:v>
                </c:pt>
              </c:strCache>
            </c:strRef>
          </c:cat>
          <c:val>
            <c:numRef>
              <c:f>Pivot_Tables!$G$37:$G$53</c:f>
              <c:numCache>
                <c:formatCode>General</c:formatCode>
                <c:ptCount val="16"/>
                <c:pt idx="0">
                  <c:v>5400</c:v>
                </c:pt>
                <c:pt idx="1">
                  <c:v>3000</c:v>
                </c:pt>
                <c:pt idx="2">
                  <c:v>4200</c:v>
                </c:pt>
                <c:pt idx="3">
                  <c:v>60000</c:v>
                </c:pt>
                <c:pt idx="4">
                  <c:v>10000</c:v>
                </c:pt>
                <c:pt idx="5">
                  <c:v>16000</c:v>
                </c:pt>
                <c:pt idx="6">
                  <c:v>7200</c:v>
                </c:pt>
                <c:pt idx="7">
                  <c:v>6000</c:v>
                </c:pt>
                <c:pt idx="8">
                  <c:v>155000</c:v>
                </c:pt>
                <c:pt idx="9">
                  <c:v>80000</c:v>
                </c:pt>
                <c:pt idx="10">
                  <c:v>7000</c:v>
                </c:pt>
                <c:pt idx="11">
                  <c:v>19200</c:v>
                </c:pt>
                <c:pt idx="12">
                  <c:v>24000</c:v>
                </c:pt>
                <c:pt idx="13">
                  <c:v>45000</c:v>
                </c:pt>
                <c:pt idx="14">
                  <c:v>4000</c:v>
                </c:pt>
                <c:pt idx="15">
                  <c:v>19000</c:v>
                </c:pt>
              </c:numCache>
            </c:numRef>
          </c:val>
          <c:extLst>
            <c:ext xmlns:c16="http://schemas.microsoft.com/office/drawing/2014/chart" uri="{C3380CC4-5D6E-409C-BE32-E72D297353CC}">
              <c16:uniqueId val="{00000000-853B-44EE-B784-A84F7EA69394}"/>
            </c:ext>
          </c:extLst>
        </c:ser>
        <c:dLbls>
          <c:showLegendKey val="0"/>
          <c:showVal val="0"/>
          <c:showCatName val="0"/>
          <c:showSerName val="0"/>
          <c:showPercent val="0"/>
          <c:showBubbleSize val="0"/>
        </c:dLbls>
        <c:gapWidth val="80"/>
        <c:overlap val="25"/>
        <c:axId val="920202304"/>
        <c:axId val="920199904"/>
      </c:barChart>
      <c:catAx>
        <c:axId val="92020230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20199904"/>
        <c:crosses val="autoZero"/>
        <c:auto val="1"/>
        <c:lblAlgn val="ctr"/>
        <c:lblOffset val="100"/>
        <c:noMultiLvlLbl val="0"/>
      </c:catAx>
      <c:valAx>
        <c:axId val="920199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2020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[Ecommerce_Sales_Dashboard_Project.xlsx]Pivot_Tables!PivotTable4</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8039217543020694"/>
              <c:y val="-1.8518518518518517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2"/>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pivotFmt>
      <c:pivotFmt>
        <c:idx val="8"/>
        <c:spPr>
          <a:solidFill>
            <a:schemeClr val="accent1"/>
          </a:solidFill>
          <a:ln>
            <a:noFill/>
          </a:ln>
          <a:effectLst>
            <a:outerShdw blurRad="254000" sx="102000" sy="102000" algn="ctr" rotWithShape="0">
              <a:prstClr val="black">
                <a:alpha val="20000"/>
              </a:prstClr>
            </a:outerShdw>
          </a:effectLst>
        </c:spPr>
      </c:pivotFmt>
      <c:pivotFmt>
        <c:idx val="9"/>
      </c:pivotFmt>
      <c:pivotFmt>
        <c:idx val="10"/>
      </c:pivotFmt>
    </c:pivotFmts>
    <c:plotArea>
      <c:layout/>
      <c:pieChart>
        <c:varyColors val="1"/>
        <c:ser>
          <c:idx val="0"/>
          <c:order val="0"/>
          <c:tx>
            <c:strRef>
              <c:f>Pivot_Tables!$T$7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87A-4B98-A773-3958DFE7584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5CD-43EB-91F6-7B6271AAFC7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87A-4B98-A773-3958DFE7584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5CD-43EB-91F6-7B6271AAFC7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Pivot_Tables!$S$8:$S$9</c:f>
              <c:strCache>
                <c:ptCount val="1"/>
                <c:pt idx="0">
                  <c:v>Gujarat</c:v>
                </c:pt>
              </c:strCache>
            </c:strRef>
          </c:cat>
          <c:val>
            <c:numRef>
              <c:f>Pivot_Tables!$T$8:$T$9</c:f>
              <c:numCache>
                <c:formatCode>General</c:formatCode>
                <c:ptCount val="1"/>
                <c:pt idx="0">
                  <c:v>74000</c:v>
                </c:pt>
              </c:numCache>
            </c:numRef>
          </c:val>
          <c:extLst>
            <c:ext xmlns:c16="http://schemas.microsoft.com/office/drawing/2014/chart" uri="{C3380CC4-5D6E-409C-BE32-E72D297353CC}">
              <c16:uniqueId val="{00000002-487A-4B98-A773-3958DFE7584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[Ecommerce_Sales_Dashboard_Project.xlsx]Pivot_Tables!PivotTable1</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74419363959241"/>
          <c:y val="0.26740965475405015"/>
          <c:w val="0.73522347673639932"/>
          <c:h val="0.60293862433200651"/>
        </c:manualLayout>
      </c:layout>
      <c:barChart>
        <c:barDir val="bar"/>
        <c:grouping val="clustered"/>
        <c:varyColors val="0"/>
        <c:ser>
          <c:idx val="0"/>
          <c:order val="0"/>
          <c:tx>
            <c:strRef>
              <c:f>Pivot_Tables!$G$3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Pivot_Tables!$F$4:$F$5</c:f>
              <c:strCache>
                <c:ptCount val="1"/>
                <c:pt idx="0">
                  <c:v>Electronics</c:v>
                </c:pt>
              </c:strCache>
            </c:strRef>
          </c:cat>
          <c:val>
            <c:numRef>
              <c:f>Pivot_Tables!$G$4:$G$5</c:f>
              <c:numCache>
                <c:formatCode>"₹"\ #,##0.00</c:formatCode>
                <c:ptCount val="1"/>
                <c:pt idx="0">
                  <c:v>380000</c:v>
                </c:pt>
              </c:numCache>
            </c:numRef>
          </c:val>
          <c:extLst>
            <c:ext xmlns:c16="http://schemas.microsoft.com/office/drawing/2014/chart" uri="{C3380CC4-5D6E-409C-BE32-E72D297353CC}">
              <c16:uniqueId val="{00000000-B874-413A-89FD-56C85A9C244E}"/>
            </c:ext>
          </c:extLst>
        </c:ser>
        <c:dLbls>
          <c:dLblPos val="inEnd"/>
          <c:showLegendKey val="0"/>
          <c:showVal val="1"/>
          <c:showCatName val="0"/>
          <c:showSerName val="0"/>
          <c:showPercent val="0"/>
          <c:showBubbleSize val="0"/>
        </c:dLbls>
        <c:gapWidth val="65"/>
        <c:axId val="716994304"/>
        <c:axId val="717000064"/>
      </c:barChart>
      <c:catAx>
        <c:axId val="7169943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17000064"/>
        <c:crosses val="autoZero"/>
        <c:auto val="1"/>
        <c:lblAlgn val="ctr"/>
        <c:lblOffset val="100"/>
        <c:noMultiLvlLbl val="0"/>
      </c:catAx>
      <c:valAx>
        <c:axId val="717000064"/>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169943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413657</xdr:colOff>
      <xdr:row>8</xdr:row>
      <xdr:rowOff>108857</xdr:rowOff>
    </xdr:from>
    <xdr:to>
      <xdr:col>11</xdr:col>
      <xdr:colOff>57978</xdr:colOff>
      <xdr:row>25</xdr:row>
      <xdr:rowOff>32657</xdr:rowOff>
    </xdr:to>
    <xdr:graphicFrame macro="">
      <xdr:nvGraphicFramePr>
        <xdr:cNvPr id="5" name="Chart 4">
          <a:extLst>
            <a:ext uri="{FF2B5EF4-FFF2-40B4-BE49-F238E27FC236}">
              <a16:creationId xmlns:a16="http://schemas.microsoft.com/office/drawing/2014/main" id="{95C7F577-E554-B90B-A6A3-9EFE922B4B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595563</xdr:colOff>
      <xdr:row>12</xdr:row>
      <xdr:rowOff>100654</xdr:rowOff>
    </xdr:from>
    <xdr:to>
      <xdr:col>22</xdr:col>
      <xdr:colOff>140019</xdr:colOff>
      <xdr:row>27</xdr:row>
      <xdr:rowOff>110594</xdr:rowOff>
    </xdr:to>
    <xdr:graphicFrame macro="">
      <xdr:nvGraphicFramePr>
        <xdr:cNvPr id="6" name="Chart 5">
          <a:extLst>
            <a:ext uri="{FF2B5EF4-FFF2-40B4-BE49-F238E27FC236}">
              <a16:creationId xmlns:a16="http://schemas.microsoft.com/office/drawing/2014/main" id="{D7648E73-A723-DA73-552B-4E02869E0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425647</xdr:colOff>
      <xdr:row>54</xdr:row>
      <xdr:rowOff>103023</xdr:rowOff>
    </xdr:from>
    <xdr:to>
      <xdr:col>7</xdr:col>
      <xdr:colOff>556846</xdr:colOff>
      <xdr:row>71</xdr:row>
      <xdr:rowOff>161192</xdr:rowOff>
    </xdr:to>
    <xdr:graphicFrame macro="">
      <xdr:nvGraphicFramePr>
        <xdr:cNvPr id="7" name="Chart 6">
          <a:extLst>
            <a:ext uri="{FF2B5EF4-FFF2-40B4-BE49-F238E27FC236}">
              <a16:creationId xmlns:a16="http://schemas.microsoft.com/office/drawing/2014/main" id="{346BDD99-8FFA-E9D1-32E6-FC6A65A61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107015</xdr:colOff>
      <xdr:row>2</xdr:row>
      <xdr:rowOff>338582</xdr:rowOff>
    </xdr:from>
    <xdr:to>
      <xdr:col>21</xdr:col>
      <xdr:colOff>202265</xdr:colOff>
      <xdr:row>10</xdr:row>
      <xdr:rowOff>656</xdr:rowOff>
    </xdr:to>
    <mc:AlternateContent xmlns:mc="http://schemas.openxmlformats.org/markup-compatibility/2006">
      <mc:Choice xmlns:a14="http://schemas.microsoft.com/office/drawing/2010/main" Requires="a14">
        <xdr:graphicFrame macro="">
          <xdr:nvGraphicFramePr>
            <xdr:cNvPr id="7" name="State 1">
              <a:extLst>
                <a:ext uri="{FF2B5EF4-FFF2-40B4-BE49-F238E27FC236}">
                  <a16:creationId xmlns:a16="http://schemas.microsoft.com/office/drawing/2014/main" id="{A40B12BE-D9E7-4262-9715-7147061A10AD}"/>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28015265" y="973582"/>
              <a:ext cx="4318000" cy="2424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126465</xdr:colOff>
      <xdr:row>13</xdr:row>
      <xdr:rowOff>87923</xdr:rowOff>
    </xdr:from>
    <xdr:to>
      <xdr:col>21</xdr:col>
      <xdr:colOff>347115</xdr:colOff>
      <xdr:row>31</xdr:row>
      <xdr:rowOff>58616</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5F319FFE-E534-4714-BC17-69E65161466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8034715" y="4056673"/>
              <a:ext cx="4443400" cy="3399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6336527</xdr:colOff>
      <xdr:row>39</xdr:row>
      <xdr:rowOff>74763</xdr:rowOff>
    </xdr:from>
    <xdr:to>
      <xdr:col>9</xdr:col>
      <xdr:colOff>1574342</xdr:colOff>
      <xdr:row>64</xdr:row>
      <xdr:rowOff>112889</xdr:rowOff>
    </xdr:to>
    <xdr:graphicFrame macro="">
      <xdr:nvGraphicFramePr>
        <xdr:cNvPr id="11" name="Chart 10">
          <a:extLst>
            <a:ext uri="{FF2B5EF4-FFF2-40B4-BE49-F238E27FC236}">
              <a16:creationId xmlns:a16="http://schemas.microsoft.com/office/drawing/2014/main" id="{91373FFA-4D01-4ADE-9ABF-32FC74FF1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1248299</xdr:colOff>
      <xdr:row>12</xdr:row>
      <xdr:rowOff>112889</xdr:rowOff>
    </xdr:from>
    <xdr:to>
      <xdr:col>11</xdr:col>
      <xdr:colOff>416520</xdr:colOff>
      <xdr:row>34</xdr:row>
      <xdr:rowOff>141112</xdr:rowOff>
    </xdr:to>
    <xdr:graphicFrame macro="">
      <xdr:nvGraphicFramePr>
        <xdr:cNvPr id="12" name="Chart 11">
          <a:extLst>
            <a:ext uri="{FF2B5EF4-FFF2-40B4-BE49-F238E27FC236}">
              <a16:creationId xmlns:a16="http://schemas.microsoft.com/office/drawing/2014/main" id="{91835593-D8B9-65F1-7123-C825422E3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56445</xdr:rowOff>
    </xdr:from>
    <xdr:to>
      <xdr:col>5</xdr:col>
      <xdr:colOff>7690</xdr:colOff>
      <xdr:row>34</xdr:row>
      <xdr:rowOff>141112</xdr:rowOff>
    </xdr:to>
    <xdr:graphicFrame macro="">
      <xdr:nvGraphicFramePr>
        <xdr:cNvPr id="13" name="Chart 12">
          <a:extLst>
            <a:ext uri="{FF2B5EF4-FFF2-40B4-BE49-F238E27FC236}">
              <a16:creationId xmlns:a16="http://schemas.microsoft.com/office/drawing/2014/main" id="{015982F4-DAA9-7F0D-9861-9BF8BB4EC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1.664767939816" createdVersion="8" refreshedVersion="8" minRefreshableVersion="3" recordCount="20" xr:uid="{9C001287-8592-4E4F-936D-3EF51B4F058D}">
  <cacheSource type="worksheet">
    <worksheetSource ref="A1:B21" sheet="Pivot_Tables"/>
  </cacheSource>
  <cacheFields count="2">
    <cacheField name="Category" numFmtId="0">
      <sharedItems count="3">
        <s v="Electronics"/>
        <s v="Fashion"/>
        <s v="Accessories"/>
      </sharedItems>
    </cacheField>
    <cacheField name="Sales" numFmtId="164">
      <sharedItems containsSemiMixedTypes="0" containsString="0" containsNumber="1" containsInteger="1" minValue="3000" maxValue="100000" count="18">
        <n v="100000"/>
        <n v="6000"/>
        <n v="30000"/>
        <n v="10000"/>
        <n v="4000"/>
        <n v="55000"/>
        <n v="3000"/>
        <n v="13200"/>
        <n v="50000"/>
        <n v="9000"/>
        <n v="16000"/>
        <n v="7000"/>
        <n v="5400"/>
        <n v="45000"/>
        <n v="24000"/>
        <n v="4200"/>
        <n v="7200"/>
        <n v="60000"/>
      </sharedItems>
    </cacheField>
  </cacheFields>
  <extLst>
    <ext xmlns:x14="http://schemas.microsoft.com/office/spreadsheetml/2009/9/main" uri="{725AE2AE-9491-48be-B2B4-4EB974FC3084}">
      <x14:pivotCacheDefinition pivotCacheId="157532009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1.696967245371" createdVersion="8" refreshedVersion="8" minRefreshableVersion="3" recordCount="20" xr:uid="{BBD5496F-EA9A-4B23-BCB6-87901608B13E}">
  <cacheSource type="worksheet">
    <worksheetSource ref="N33:N53" sheet="Pivot_Tables"/>
  </cacheSource>
  <cacheFields count="1">
    <cacheField name="Sales Type" numFmtId="164">
      <sharedItems count="2">
        <s v="High Sales"/>
        <s v="Low Sale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2.710202893519" backgroundQuery="1" createdVersion="8" refreshedVersion="8" minRefreshableVersion="3" recordCount="0" supportSubquery="1" supportAdvancedDrill="1" xr:uid="{48CB6DBD-90E7-4614-9B3D-41C4BF6D19DC}">
  <cacheSource type="external" connectionId="1"/>
  <cacheFields count="2">
    <cacheField name="[Range].[State].[State]" caption="State" numFmtId="0" level="1">
      <sharedItems count="4">
        <s v="Gujarat"/>
        <s v="Karnataka" u="1"/>
        <s v="Maharashtra" u="1"/>
        <s v="Delhi" u="1"/>
      </sharedItems>
    </cacheField>
    <cacheField name="[Measures].[Sum of Sales]" caption="Sum of Sales" numFmtId="0" hierarchy="7" level="32767"/>
  </cacheFields>
  <cacheHierarchies count="9">
    <cacheHierarchy uniqueName="[Range].[State]" caption="State" attribute="1" defaultMemberUniqueName="[Range].[State].[All]" allUniqueName="[Range].[State].[All]" dimensionUniqueName="[Range]" displayFolder="" count="2" memberValueDatatype="130" unbalanced="0">
      <fieldsUsage count="2">
        <fieldUsage x="-1"/>
        <fieldUsage x="0"/>
      </fieldsUsage>
    </cacheHierarchy>
    <cacheHierarchy uniqueName="[Range].[Sales]" caption="Sales" attribute="1" defaultMemberUniqueName="[Range].[Sales].[All]" allUniqueName="[Range].[Sales].[All]" dimensionUniqueName="[Range]" displayFolder="" count="2" memberValueDatatype="20" unbalanced="0"/>
    <cacheHierarchy uniqueName="[Range 1].[Product]" caption="Product" attribute="1" defaultMemberUniqueName="[Range 1].[Product].[All]" allUniqueName="[Range 1].[Product].[All]" dimensionUniqueName="[Range 1]" displayFolder="" count="2" memberValueDatatype="130" unbalanced="0"/>
    <cacheHierarchy uniqueName="[Range 1].[Sales]" caption="Sales" attribute="1" defaultMemberUniqueName="[Range 1].[Sales].[All]" allUniqueName="[Range 1].[Sales].[All]" dimensionUniqueName="[Range 1]" displayFolder="" count="2"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2.710203703704" backgroundQuery="1" createdVersion="8" refreshedVersion="8" minRefreshableVersion="3" recordCount="0" supportSubquery="1" supportAdvancedDrill="1" xr:uid="{D638E740-F619-494E-B2BE-2F38CE4867AA}">
  <cacheSource type="external" connectionId="1"/>
  <cacheFields count="3">
    <cacheField name="[Range 1].[Product].[Product]" caption="Product" numFmtId="0" hierarchy="2" level="1">
      <sharedItems count="16">
        <s v="Backpack"/>
        <s v="Bag"/>
        <s v="Belt"/>
        <s v="Camera"/>
        <s v="Handbag"/>
        <s v="Headphones"/>
        <s v="Jeans"/>
        <s v="Kurta"/>
        <s v="Laptop"/>
        <s v="Mobile"/>
        <s v="Saree"/>
        <s v="Shoes"/>
        <s v="Smartwatch"/>
        <s v="Tablet"/>
        <s v="T-shirt"/>
        <s v="Watch"/>
      </sharedItems>
    </cacheField>
    <cacheField name="[Measures].[Sum of Sales 2]" caption="Sum of Sales 2" numFmtId="0" hierarchy="8" level="32767"/>
    <cacheField name="[Range].[State].[State]" caption="State" numFmtId="0" level="1">
      <sharedItems containsSemiMixedTypes="0" containsNonDate="0" containsString="0"/>
    </cacheField>
  </cacheFields>
  <cacheHierarchies count="9">
    <cacheHierarchy uniqueName="[Range].[State]" caption="State" attribute="1" defaultMemberUniqueName="[Range].[State].[All]" allUniqueName="[Range].[State].[All]" dimensionUniqueName="[Range]" displayFolder="" count="2" memberValueDatatype="130" unbalanced="0">
      <fieldsUsage count="2">
        <fieldUsage x="-1"/>
        <fieldUsage x="2"/>
      </fieldsUsage>
    </cacheHierarchy>
    <cacheHierarchy uniqueName="[Range].[Sales]" caption="Sales" attribute="1" defaultMemberUniqueName="[Range].[Sales].[All]" allUniqueName="[Range].[Sales].[All]" dimensionUniqueName="[Range]" displayFolder="" count="2" memberValueDatatype="20" unbalanced="0"/>
    <cacheHierarchy uniqueName="[Range 1].[Product]" caption="Product" attribute="1" defaultMemberUniqueName="[Range 1].[Product].[All]" allUniqueName="[Range 1].[Product].[All]" dimensionUniqueName="[Range 1]" displayFolder="" count="2" memberValueDatatype="130" unbalanced="0">
      <fieldsUsage count="2">
        <fieldUsage x="-1"/>
        <fieldUsage x="0"/>
      </fieldsUsage>
    </cacheHierarchy>
    <cacheHierarchy uniqueName="[Range 1].[Sales]" caption="Sales" attribute="1" defaultMemberUniqueName="[Range 1].[Sales].[All]" allUniqueName="[Range 1].[Sales].[All]" dimensionUniqueName="[Range 1]"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1.874992708334" backgroundQuery="1" createdVersion="3" refreshedVersion="8" minRefreshableVersion="3" recordCount="0" supportSubquery="1" supportAdvancedDrill="1" xr:uid="{C6D10B66-FC0F-4ACA-A08E-D5E1FDD4A315}">
  <cacheSource type="external" connectionId="1">
    <extLst>
      <ext xmlns:x14="http://schemas.microsoft.com/office/spreadsheetml/2009/9/main" uri="{F057638F-6D5F-4e77-A914-E7F072B9BCA8}">
        <x14:sourceConnection name="ThisWorkbookDataModel"/>
      </ext>
    </extLst>
  </cacheSource>
  <cacheFields count="0"/>
  <cacheHierarchies count="9">
    <cacheHierarchy uniqueName="[Range].[State]" caption="State" attribute="1" defaultMemberUniqueName="[Range].[State].[All]" allUniqueName="[Range].[State].[All]" dimensionUniqueName="[Range]" displayFolder="" count="2" memberValueDatatype="130" unbalanced="0"/>
    <cacheHierarchy uniqueName="[Range].[Sales]" caption="Sales" attribute="1" defaultMemberUniqueName="[Range].[Sales].[All]" allUniqueName="[Range].[Sales].[All]" dimensionUniqueName="[Range]" displayFolder="" count="2" memberValueDatatype="20" unbalanced="0"/>
    <cacheHierarchy uniqueName="[Range 1].[Product]" caption="Product" attribute="1" defaultMemberUniqueName="[Range 1].[Product].[All]" allUniqueName="[Range 1].[Product].[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61793051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r>
  <r>
    <x v="1"/>
    <x v="1"/>
  </r>
  <r>
    <x v="0"/>
    <x v="2"/>
  </r>
  <r>
    <x v="2"/>
    <x v="3"/>
  </r>
  <r>
    <x v="1"/>
    <x v="4"/>
  </r>
  <r>
    <x v="0"/>
    <x v="5"/>
  </r>
  <r>
    <x v="2"/>
    <x v="6"/>
  </r>
  <r>
    <x v="1"/>
    <x v="7"/>
  </r>
  <r>
    <x v="0"/>
    <x v="8"/>
  </r>
  <r>
    <x v="2"/>
    <x v="9"/>
  </r>
  <r>
    <x v="0"/>
    <x v="10"/>
  </r>
  <r>
    <x v="1"/>
    <x v="11"/>
  </r>
  <r>
    <x v="2"/>
    <x v="12"/>
  </r>
  <r>
    <x v="0"/>
    <x v="13"/>
  </r>
  <r>
    <x v="1"/>
    <x v="1"/>
  </r>
  <r>
    <x v="0"/>
    <x v="14"/>
  </r>
  <r>
    <x v="2"/>
    <x v="15"/>
  </r>
  <r>
    <x v="1"/>
    <x v="16"/>
  </r>
  <r>
    <x v="0"/>
    <x v="17"/>
  </r>
  <r>
    <x v="2"/>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r>
  <r>
    <x v="1"/>
  </r>
  <r>
    <x v="1"/>
  </r>
  <r>
    <x v="1"/>
  </r>
  <r>
    <x v="1"/>
  </r>
  <r>
    <x v="0"/>
  </r>
  <r>
    <x v="1"/>
  </r>
  <r>
    <x v="1"/>
  </r>
  <r>
    <x v="0"/>
  </r>
  <r>
    <x v="1"/>
  </r>
  <r>
    <x v="1"/>
  </r>
  <r>
    <x v="1"/>
  </r>
  <r>
    <x v="1"/>
  </r>
  <r>
    <x v="0"/>
  </r>
  <r>
    <x v="1"/>
  </r>
  <r>
    <x v="1"/>
  </r>
  <r>
    <x v="1"/>
  </r>
  <r>
    <x v="1"/>
  </r>
  <r>
    <x v="0"/>
  </r>
  <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71CF39-B1D4-44C5-852D-ECE539814E71}" name="PivotTable5" cacheId="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F36:G53" firstHeaderRow="1" firstDataRow="1" firstDataCol="1"/>
  <pivotFields count="3">
    <pivotField axis="axisRow" allDrilled="1" subtotalTop="0" showAll="0"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9">
    <pivotHierarchy multipleItemSelectionAllowed="1" dragToData="1">
      <members count="1" level="1">
        <member name="[Range].[State].&amp;[Gujarat]"/>
      </members>
    </pivotHierarchy>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7"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_Tables!$A$32:$B$52">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F385DA-8A67-4C70-A979-9452718A3F1A}" name="PivotTable4" cacheId="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S7:T9" firstHeaderRow="1" firstDataRow="1" firstDataCol="1"/>
  <pivotFields count="2">
    <pivotField axis="axisRow" allDrilled="1" subtotalTop="0" showAll="0" dataSourceSort="1" defaultSubtotal="0" defaultAttributeDrillState="1">
      <items count="4">
        <item s="1" x="0"/>
        <item x="1"/>
        <item x="2"/>
        <item x="3"/>
      </items>
    </pivotField>
    <pivotField dataField="1" subtotalTop="0" showAll="0" defaultSubtotal="0"/>
  </pivotFields>
  <rowFields count="1">
    <field x="0"/>
  </rowFields>
  <rowItems count="2">
    <i>
      <x/>
    </i>
    <i t="grand">
      <x/>
    </i>
  </rowItems>
  <colItems count="1">
    <i/>
  </colItems>
  <dataFields count="1">
    <dataField name="Sum of Sales" fld="1"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0" count="1" selected="0">
            <x v="3"/>
          </reference>
        </references>
      </pivotArea>
    </chartFormat>
    <chartFormat chart="11" format="8">
      <pivotArea type="data" outline="0" fieldPosition="0">
        <references count="2">
          <reference field="4294967294" count="1" selected="0">
            <x v="0"/>
          </reference>
          <reference field="0" count="1" selected="0">
            <x v="0"/>
          </reference>
        </references>
      </pivotArea>
    </chartFormat>
    <chartFormat chart="11" format="9">
      <pivotArea type="data" outline="0" fieldPosition="0">
        <references count="2">
          <reference field="4294967294" count="1" selected="0">
            <x v="0"/>
          </reference>
          <reference field="0" count="1" selected="0">
            <x v="1"/>
          </reference>
        </references>
      </pivotArea>
    </chartFormat>
    <chartFormat chart="11" format="10">
      <pivotArea type="data" outline="0" fieldPosition="0">
        <references count="2">
          <reference field="4294967294" count="1" selected="0">
            <x v="0"/>
          </reference>
          <reference field="0" count="1" selected="0">
            <x v="2"/>
          </reference>
        </references>
      </pivotArea>
    </chartFormat>
  </chartFormats>
  <pivotHierarchies count="9">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8"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ivot_Tables!$N$2:$O$2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6AA593-AF45-496F-BCD8-296541633D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3:G5" firstHeaderRow="1" firstDataRow="1" firstDataCol="1"/>
  <pivotFields count="2">
    <pivotField axis="axisRow" showAll="0">
      <items count="4">
        <item h="1" x="2"/>
        <item x="0"/>
        <item h="1" x="1"/>
        <item t="default"/>
      </items>
    </pivotField>
    <pivotField dataField="1" numFmtId="164" showAll="0">
      <items count="19">
        <item x="6"/>
        <item x="4"/>
        <item x="15"/>
        <item x="12"/>
        <item x="1"/>
        <item x="11"/>
        <item x="16"/>
        <item x="9"/>
        <item x="3"/>
        <item x="7"/>
        <item x="10"/>
        <item x="14"/>
        <item x="2"/>
        <item x="13"/>
        <item x="8"/>
        <item x="5"/>
        <item x="17"/>
        <item x="0"/>
        <item t="default"/>
      </items>
    </pivotField>
  </pivotFields>
  <rowFields count="1">
    <field x="0"/>
  </rowFields>
  <rowItems count="2">
    <i>
      <x v="1"/>
    </i>
    <i t="grand">
      <x/>
    </i>
  </rowItems>
  <colItems count="1">
    <i/>
  </colItems>
  <dataFields count="1">
    <dataField name="Sum of Sales" fld="1" baseField="0" baseItem="0" numFmtId="164"/>
  </dataFields>
  <chartFormats count="2">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E92943-8916-49EF-9786-B6B3A3974D1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7:S40" firstHeaderRow="1" firstDataRow="1" firstDataCol="1"/>
  <pivotFields count="1">
    <pivotField axis="axisRow" dataField="1" showAll="0">
      <items count="3">
        <item x="0"/>
        <item x="1"/>
        <item t="default"/>
      </items>
    </pivotField>
  </pivotFields>
  <rowFields count="1">
    <field x="0"/>
  </rowFields>
  <rowItems count="3">
    <i>
      <x/>
    </i>
    <i>
      <x v="1"/>
    </i>
    <i t="grand">
      <x/>
    </i>
  </rowItems>
  <colItems count="1">
    <i/>
  </colItems>
  <dataFields count="1">
    <dataField name="Count of Sales Type" fld="0" subtotal="count"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0933425-8F3C-4D8F-B30C-EB20BD1326B6}" sourceName="[Range].[State]">
  <pivotTables>
    <pivotTable tabId="3" name="PivotTable4"/>
    <pivotTable tabId="3" name="PivotTable5"/>
  </pivotTables>
  <data>
    <olap pivotCacheId="617930517">
      <levels count="2">
        <level uniqueName="[Range].[State].[(All)]" sourceCaption="(All)" count="0"/>
        <level uniqueName="[Range].[State].[State]" sourceCaption="State" count="4" sortOrder="ascending">
          <ranges>
            <range startItem="0">
              <i n="[Range].[State].&amp;[Delhi]" c="Delhi"/>
              <i n="[Range].[State].&amp;[Gujarat]" c="Gujarat"/>
              <i n="[Range].[State].&amp;[Karnataka]" c="Karnataka"/>
              <i n="[Range].[State].&amp;[Maharashtra]" c="Maharashtra"/>
            </range>
          </ranges>
        </level>
      </levels>
      <selections count="1">
        <selection n="[Range].[State].&amp;[Gujara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6F80FB-75BF-42CD-8098-EC782402A3E9}" sourceName="Category">
  <pivotTables>
    <pivotTable tabId="3" name="PivotTable1"/>
  </pivotTables>
  <data>
    <tabular pivotCacheId="1575320098">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4B0CE246-B978-492F-A167-F25A90862AAF}" cache="Slicer_State" caption="State" level="1" rowHeight="247650"/>
  <slicer name="Category 1" xr10:uid="{DABAE0E0-3843-4155-A341-F676E40D4388}"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DE01B1-FAA9-48A3-BAA2-A300C0517509}" name="Table2" displayName="Table2" ref="A1:G21" totalsRowShown="0">
  <tableColumns count="7">
    <tableColumn id="1" xr3:uid="{7596C8BF-FFFD-4C1F-98E0-B4CF2BE54A40}" name="Order_ID"/>
    <tableColumn id="2" xr3:uid="{6F847420-7EDA-4A1B-988F-859598092738}" name="Product"/>
    <tableColumn id="3" xr3:uid="{356CD62E-A455-4AA9-9EA0-EAA14BA68827}" name="Category"/>
    <tableColumn id="4" xr3:uid="{3C18E360-AFD4-46D1-AEC6-CD30AC9B15AA}" name="State"/>
    <tableColumn id="5" xr3:uid="{804C1A08-57D2-4576-9733-08EC286B60F5}" name="Quantity"/>
    <tableColumn id="6" xr3:uid="{2C01214E-3539-46F7-89F9-B176D2E2849F}" name="Price"/>
    <tableColumn id="7" xr3:uid="{BF00511B-230A-445F-A5D7-6D5E94F8DB43}" name="Sales"/>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7DB3604-FB3B-478A-B221-F95FF9668728}" name="Table24" displayName="Table24" ref="A1:K21" totalsRowShown="0" headerRowDxfId="18" dataDxfId="16" headerRowBorderDxfId="17" totalsRowBorderDxfId="15">
  <tableColumns count="11">
    <tableColumn id="1" xr3:uid="{C2E21560-49A3-4BA2-AA53-1D7D0B6C45FE}" name="Order_ID" dataDxfId="14"/>
    <tableColumn id="2" xr3:uid="{7AEF092B-04DA-487E-834C-63284652A207}" name="Product" dataDxfId="13"/>
    <tableColumn id="3" xr3:uid="{3FB90CE2-B8CD-4C2B-A7B6-01CB8488EBBB}" name="Category" dataDxfId="12"/>
    <tableColumn id="4" xr3:uid="{CCDDCCAF-B51C-4DC6-953F-33334E7D0F73}" name="State" dataDxfId="11"/>
    <tableColumn id="5" xr3:uid="{4C827921-EFF2-4EDA-959D-6B9856C152C0}" name="Quantity" dataDxfId="10"/>
    <tableColumn id="6" xr3:uid="{E043AD56-FFC6-4FCB-8AE7-960FA3FA1E3F}" name="Price" dataDxfId="9"/>
    <tableColumn id="7" xr3:uid="{55019C0F-B30C-4437-8819-723309F75520}" name="Sales" dataDxfId="8"/>
    <tableColumn id="8" xr3:uid="{7D536C42-5E26-4A87-B8E1-144764D8D3A8}" name="Discount" dataDxfId="7">
      <calculatedColumnFormula>G2*10%</calculatedColumnFormula>
    </tableColumn>
    <tableColumn id="9" xr3:uid="{D0FA0E33-0DAE-4466-8350-6E110DC137D7}" name="Profit" dataDxfId="6">
      <calculatedColumnFormula>G2*20%</calculatedColumnFormula>
    </tableColumn>
    <tableColumn id="10" xr3:uid="{8CAD39C3-DAE3-4E78-9C54-BF44C2A6004F}" name="Gst" dataDxfId="5">
      <calculatedColumnFormula>G2*18%</calculatedColumnFormula>
    </tableColumn>
    <tableColumn id="11" xr3:uid="{9D0ABE11-7CBC-4751-B556-873E1AF4F2C1}" name="Sales Type" dataDxfId="4">
      <calculatedColumnFormula>IF(G2&gt;30000,"High Sales","Low Sales")</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5ADDD-739D-43A0-B90B-A1D9A75A74CC}">
  <dimension ref="A1:G21"/>
  <sheetViews>
    <sheetView zoomScale="107" zoomScaleNormal="140" workbookViewId="0">
      <selection activeCell="C15" sqref="C15"/>
    </sheetView>
  </sheetViews>
  <sheetFormatPr defaultRowHeight="14.4" x14ac:dyDescent="0.3"/>
  <cols>
    <col min="1" max="1" width="8.6640625" bestFit="1" customWidth="1"/>
    <col min="2" max="2" width="11.5546875" bestFit="1" customWidth="1"/>
    <col min="3" max="3" width="10.88671875" bestFit="1" customWidth="1"/>
    <col min="4" max="4" width="11.44140625" bestFit="1" customWidth="1"/>
    <col min="5" max="5" width="10.21875" customWidth="1"/>
    <col min="6" max="6" width="7.21875" customWidth="1"/>
    <col min="7" max="7" width="7.44140625" customWidth="1"/>
  </cols>
  <sheetData>
    <row r="1" spans="1:7" x14ac:dyDescent="0.3">
      <c r="A1" t="s">
        <v>0</v>
      </c>
      <c r="B1" t="s">
        <v>1</v>
      </c>
      <c r="C1" t="s">
        <v>2</v>
      </c>
      <c r="D1" t="s">
        <v>3</v>
      </c>
      <c r="E1" t="s">
        <v>4</v>
      </c>
      <c r="F1" t="s">
        <v>5</v>
      </c>
      <c r="G1" t="s">
        <v>6</v>
      </c>
    </row>
    <row r="2" spans="1:7" x14ac:dyDescent="0.3">
      <c r="A2">
        <v>101</v>
      </c>
      <c r="B2" t="s">
        <v>7</v>
      </c>
      <c r="C2" t="s">
        <v>8</v>
      </c>
      <c r="D2" t="s">
        <v>9</v>
      </c>
      <c r="E2">
        <v>2</v>
      </c>
      <c r="F2">
        <v>50000</v>
      </c>
      <c r="G2">
        <v>100000</v>
      </c>
    </row>
    <row r="3" spans="1:7" x14ac:dyDescent="0.3">
      <c r="A3">
        <v>102</v>
      </c>
      <c r="B3" t="s">
        <v>10</v>
      </c>
      <c r="C3" t="s">
        <v>11</v>
      </c>
      <c r="D3" t="s">
        <v>12</v>
      </c>
      <c r="E3">
        <v>3</v>
      </c>
      <c r="F3">
        <v>2000</v>
      </c>
      <c r="G3">
        <v>6000</v>
      </c>
    </row>
    <row r="4" spans="1:7" x14ac:dyDescent="0.3">
      <c r="A4">
        <v>103</v>
      </c>
      <c r="B4" t="s">
        <v>13</v>
      </c>
      <c r="C4" t="s">
        <v>8</v>
      </c>
      <c r="D4" t="s">
        <v>14</v>
      </c>
      <c r="E4">
        <v>1</v>
      </c>
      <c r="F4">
        <v>30000</v>
      </c>
      <c r="G4">
        <v>30000</v>
      </c>
    </row>
    <row r="5" spans="1:7" x14ac:dyDescent="0.3">
      <c r="A5">
        <v>104</v>
      </c>
      <c r="B5" t="s">
        <v>15</v>
      </c>
      <c r="C5" t="s">
        <v>16</v>
      </c>
      <c r="D5" t="s">
        <v>9</v>
      </c>
      <c r="E5">
        <v>4</v>
      </c>
      <c r="F5">
        <v>2500</v>
      </c>
      <c r="G5">
        <v>10000</v>
      </c>
    </row>
    <row r="6" spans="1:7" x14ac:dyDescent="0.3">
      <c r="A6">
        <v>105</v>
      </c>
      <c r="B6" t="s">
        <v>17</v>
      </c>
      <c r="C6" t="s">
        <v>11</v>
      </c>
      <c r="D6" t="s">
        <v>18</v>
      </c>
      <c r="E6">
        <v>5</v>
      </c>
      <c r="F6">
        <v>800</v>
      </c>
      <c r="G6">
        <v>4000</v>
      </c>
    </row>
    <row r="7" spans="1:7" x14ac:dyDescent="0.3">
      <c r="A7">
        <v>106</v>
      </c>
      <c r="B7" t="s">
        <v>7</v>
      </c>
      <c r="C7" t="s">
        <v>8</v>
      </c>
      <c r="D7" t="s">
        <v>12</v>
      </c>
      <c r="E7">
        <v>1</v>
      </c>
      <c r="F7">
        <v>55000</v>
      </c>
      <c r="G7">
        <v>55000</v>
      </c>
    </row>
    <row r="8" spans="1:7" x14ac:dyDescent="0.3">
      <c r="A8">
        <v>107</v>
      </c>
      <c r="B8" t="s">
        <v>19</v>
      </c>
      <c r="C8" t="s">
        <v>16</v>
      </c>
      <c r="D8" t="s">
        <v>14</v>
      </c>
      <c r="E8">
        <v>2</v>
      </c>
      <c r="F8">
        <v>1500</v>
      </c>
      <c r="G8">
        <v>3000</v>
      </c>
    </row>
    <row r="9" spans="1:7" x14ac:dyDescent="0.3">
      <c r="A9">
        <v>108</v>
      </c>
      <c r="B9" t="s">
        <v>10</v>
      </c>
      <c r="C9" t="s">
        <v>11</v>
      </c>
      <c r="D9" t="s">
        <v>9</v>
      </c>
      <c r="E9">
        <v>6</v>
      </c>
      <c r="F9">
        <v>2200</v>
      </c>
      <c r="G9">
        <v>13200</v>
      </c>
    </row>
    <row r="10" spans="1:7" x14ac:dyDescent="0.3">
      <c r="A10">
        <v>109</v>
      </c>
      <c r="B10" t="s">
        <v>13</v>
      </c>
      <c r="C10" t="s">
        <v>8</v>
      </c>
      <c r="D10" t="s">
        <v>18</v>
      </c>
      <c r="E10">
        <v>2</v>
      </c>
      <c r="F10">
        <v>25000</v>
      </c>
      <c r="G10">
        <v>50000</v>
      </c>
    </row>
    <row r="11" spans="1:7" x14ac:dyDescent="0.3">
      <c r="A11">
        <v>110</v>
      </c>
      <c r="B11" t="s">
        <v>15</v>
      </c>
      <c r="C11" t="s">
        <v>16</v>
      </c>
      <c r="D11" t="s">
        <v>12</v>
      </c>
      <c r="E11">
        <v>3</v>
      </c>
      <c r="F11">
        <v>3000</v>
      </c>
      <c r="G11">
        <v>9000</v>
      </c>
    </row>
    <row r="12" spans="1:7" x14ac:dyDescent="0.3">
      <c r="A12">
        <v>111</v>
      </c>
      <c r="B12" t="s">
        <v>20</v>
      </c>
      <c r="C12" t="s">
        <v>8</v>
      </c>
      <c r="D12" t="s">
        <v>9</v>
      </c>
      <c r="E12">
        <v>4</v>
      </c>
      <c r="F12">
        <v>4000</v>
      </c>
      <c r="G12">
        <v>16000</v>
      </c>
    </row>
    <row r="13" spans="1:7" x14ac:dyDescent="0.3">
      <c r="A13">
        <v>112</v>
      </c>
      <c r="B13" t="s">
        <v>21</v>
      </c>
      <c r="C13" t="s">
        <v>11</v>
      </c>
      <c r="D13" t="s">
        <v>14</v>
      </c>
      <c r="E13">
        <v>2</v>
      </c>
      <c r="F13">
        <v>3500</v>
      </c>
      <c r="G13">
        <v>7000</v>
      </c>
    </row>
    <row r="14" spans="1:7" x14ac:dyDescent="0.3">
      <c r="A14">
        <v>113</v>
      </c>
      <c r="B14" t="s">
        <v>22</v>
      </c>
      <c r="C14" t="s">
        <v>16</v>
      </c>
      <c r="D14" t="s">
        <v>18</v>
      </c>
      <c r="E14">
        <v>3</v>
      </c>
      <c r="F14">
        <v>1800</v>
      </c>
      <c r="G14">
        <v>5400</v>
      </c>
    </row>
    <row r="15" spans="1:7" x14ac:dyDescent="0.3">
      <c r="A15">
        <v>114</v>
      </c>
      <c r="B15" t="s">
        <v>23</v>
      </c>
      <c r="C15" t="s">
        <v>8</v>
      </c>
      <c r="D15" t="s">
        <v>12</v>
      </c>
      <c r="E15">
        <v>1</v>
      </c>
      <c r="F15">
        <v>45000</v>
      </c>
      <c r="G15">
        <v>45000</v>
      </c>
    </row>
    <row r="16" spans="1:7" x14ac:dyDescent="0.3">
      <c r="A16">
        <v>115</v>
      </c>
      <c r="B16" t="s">
        <v>24</v>
      </c>
      <c r="C16" t="s">
        <v>11</v>
      </c>
      <c r="D16" t="s">
        <v>9</v>
      </c>
      <c r="E16">
        <v>5</v>
      </c>
      <c r="F16">
        <v>1200</v>
      </c>
      <c r="G16">
        <v>6000</v>
      </c>
    </row>
    <row r="17" spans="1:7" x14ac:dyDescent="0.3">
      <c r="A17">
        <v>116</v>
      </c>
      <c r="B17" t="s">
        <v>25</v>
      </c>
      <c r="C17" t="s">
        <v>8</v>
      </c>
      <c r="D17" t="s">
        <v>14</v>
      </c>
      <c r="E17">
        <v>2</v>
      </c>
      <c r="F17">
        <v>12000</v>
      </c>
      <c r="G17">
        <v>24000</v>
      </c>
    </row>
    <row r="18" spans="1:7" x14ac:dyDescent="0.3">
      <c r="A18">
        <v>117</v>
      </c>
      <c r="B18" t="s">
        <v>26</v>
      </c>
      <c r="C18" t="s">
        <v>16</v>
      </c>
      <c r="D18" t="s">
        <v>12</v>
      </c>
      <c r="E18">
        <v>6</v>
      </c>
      <c r="F18">
        <v>700</v>
      </c>
      <c r="G18">
        <v>4200</v>
      </c>
    </row>
    <row r="19" spans="1:7" x14ac:dyDescent="0.3">
      <c r="A19">
        <v>118</v>
      </c>
      <c r="B19" t="s">
        <v>27</v>
      </c>
      <c r="C19" t="s">
        <v>11</v>
      </c>
      <c r="D19" t="s">
        <v>18</v>
      </c>
      <c r="E19">
        <v>4</v>
      </c>
      <c r="F19">
        <v>1800</v>
      </c>
      <c r="G19">
        <v>7200</v>
      </c>
    </row>
    <row r="20" spans="1:7" x14ac:dyDescent="0.3">
      <c r="A20">
        <v>119</v>
      </c>
      <c r="B20" t="s">
        <v>28</v>
      </c>
      <c r="C20" t="s">
        <v>8</v>
      </c>
      <c r="D20" t="s">
        <v>9</v>
      </c>
      <c r="E20">
        <v>1</v>
      </c>
      <c r="F20">
        <v>60000</v>
      </c>
      <c r="G20">
        <v>60000</v>
      </c>
    </row>
    <row r="21" spans="1:7" x14ac:dyDescent="0.3">
      <c r="A21">
        <v>120</v>
      </c>
      <c r="B21" t="s">
        <v>29</v>
      </c>
      <c r="C21" t="s">
        <v>16</v>
      </c>
      <c r="D21" t="s">
        <v>14</v>
      </c>
      <c r="E21">
        <v>2</v>
      </c>
      <c r="F21">
        <v>5000</v>
      </c>
      <c r="G21">
        <v>10000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4E96A-E43E-4E99-96F2-B0DF08C4F0F7}">
  <dimension ref="A1:K21"/>
  <sheetViews>
    <sheetView zoomScale="109" zoomScaleNormal="130" workbookViewId="0">
      <selection activeCell="A8" sqref="A8"/>
    </sheetView>
  </sheetViews>
  <sheetFormatPr defaultRowHeight="14.4" x14ac:dyDescent="0.3"/>
  <cols>
    <col min="1" max="1" width="8.44140625" bestFit="1" customWidth="1"/>
    <col min="2" max="2" width="11.33203125" bestFit="1" customWidth="1"/>
    <col min="3" max="3" width="10.88671875" bestFit="1" customWidth="1"/>
    <col min="4" max="4" width="11.21875" bestFit="1" customWidth="1"/>
    <col min="6" max="6" width="6" bestFit="1" customWidth="1"/>
    <col min="7" max="7" width="12" style="1" bestFit="1" customWidth="1"/>
    <col min="8" max="10" width="10.5546875" bestFit="1" customWidth="1"/>
    <col min="11" max="11" width="9.88671875" bestFit="1" customWidth="1"/>
  </cols>
  <sheetData>
    <row r="1" spans="1:11" x14ac:dyDescent="0.3">
      <c r="A1" s="2" t="s">
        <v>0</v>
      </c>
      <c r="B1" s="3" t="s">
        <v>1</v>
      </c>
      <c r="C1" s="3" t="s">
        <v>2</v>
      </c>
      <c r="D1" s="3" t="s">
        <v>3</v>
      </c>
      <c r="E1" s="3" t="s">
        <v>4</v>
      </c>
      <c r="F1" s="3" t="s">
        <v>5</v>
      </c>
      <c r="G1" s="12" t="s">
        <v>6</v>
      </c>
      <c r="H1" s="3" t="s">
        <v>30</v>
      </c>
      <c r="I1" s="3" t="s">
        <v>31</v>
      </c>
      <c r="J1" s="3" t="s">
        <v>32</v>
      </c>
      <c r="K1" s="13" t="s">
        <v>33</v>
      </c>
    </row>
    <row r="2" spans="1:11" x14ac:dyDescent="0.3">
      <c r="A2" s="4">
        <v>101</v>
      </c>
      <c r="B2" s="5" t="s">
        <v>7</v>
      </c>
      <c r="C2" s="5" t="s">
        <v>8</v>
      </c>
      <c r="D2" s="5" t="s">
        <v>9</v>
      </c>
      <c r="E2" s="5">
        <v>2</v>
      </c>
      <c r="F2" s="5">
        <v>50000</v>
      </c>
      <c r="G2" s="10">
        <v>100000</v>
      </c>
      <c r="H2" s="10">
        <f t="shared" ref="H2:H21" si="0">G2*10%</f>
        <v>10000</v>
      </c>
      <c r="I2" s="10">
        <f t="shared" ref="I2:I21" si="1">G2*20%</f>
        <v>20000</v>
      </c>
      <c r="J2" s="10">
        <f t="shared" ref="J2:J21" si="2">G2*18%</f>
        <v>18000</v>
      </c>
      <c r="K2" s="6" t="str">
        <f t="shared" ref="K2:K21" si="3">IF(G2&gt;30000,"High Sales","Low Sales")</f>
        <v>High Sales</v>
      </c>
    </row>
    <row r="3" spans="1:11" x14ac:dyDescent="0.3">
      <c r="A3" s="4">
        <v>102</v>
      </c>
      <c r="B3" s="5" t="s">
        <v>10</v>
      </c>
      <c r="C3" s="5" t="s">
        <v>11</v>
      </c>
      <c r="D3" s="5" t="s">
        <v>12</v>
      </c>
      <c r="E3" s="5">
        <v>3</v>
      </c>
      <c r="F3" s="5">
        <v>2000</v>
      </c>
      <c r="G3" s="10">
        <v>6000</v>
      </c>
      <c r="H3" s="10">
        <f t="shared" si="0"/>
        <v>600</v>
      </c>
      <c r="I3" s="10">
        <f t="shared" si="1"/>
        <v>1200</v>
      </c>
      <c r="J3" s="10">
        <f t="shared" si="2"/>
        <v>1080</v>
      </c>
      <c r="K3" s="6" t="str">
        <f t="shared" si="3"/>
        <v>Low Sales</v>
      </c>
    </row>
    <row r="4" spans="1:11" x14ac:dyDescent="0.3">
      <c r="A4" s="4">
        <v>103</v>
      </c>
      <c r="B4" s="5" t="s">
        <v>13</v>
      </c>
      <c r="C4" s="5" t="s">
        <v>8</v>
      </c>
      <c r="D4" s="5" t="s">
        <v>14</v>
      </c>
      <c r="E4" s="5">
        <v>1</v>
      </c>
      <c r="F4" s="5">
        <v>30000</v>
      </c>
      <c r="G4" s="10">
        <v>30000</v>
      </c>
      <c r="H4" s="10">
        <f t="shared" si="0"/>
        <v>3000</v>
      </c>
      <c r="I4" s="10">
        <f t="shared" si="1"/>
        <v>6000</v>
      </c>
      <c r="J4" s="10">
        <f t="shared" si="2"/>
        <v>5400</v>
      </c>
      <c r="K4" s="6" t="str">
        <f t="shared" si="3"/>
        <v>Low Sales</v>
      </c>
    </row>
    <row r="5" spans="1:11" x14ac:dyDescent="0.3">
      <c r="A5" s="4">
        <v>104</v>
      </c>
      <c r="B5" s="5" t="s">
        <v>15</v>
      </c>
      <c r="C5" s="5" t="s">
        <v>16</v>
      </c>
      <c r="D5" s="5" t="s">
        <v>9</v>
      </c>
      <c r="E5" s="5">
        <v>4</v>
      </c>
      <c r="F5" s="5">
        <v>2500</v>
      </c>
      <c r="G5" s="10">
        <v>10000</v>
      </c>
      <c r="H5" s="10">
        <f t="shared" si="0"/>
        <v>1000</v>
      </c>
      <c r="I5" s="10">
        <f t="shared" si="1"/>
        <v>2000</v>
      </c>
      <c r="J5" s="10">
        <f t="shared" si="2"/>
        <v>1800</v>
      </c>
      <c r="K5" s="6" t="str">
        <f t="shared" si="3"/>
        <v>Low Sales</v>
      </c>
    </row>
    <row r="6" spans="1:11" x14ac:dyDescent="0.3">
      <c r="A6" s="4">
        <v>105</v>
      </c>
      <c r="B6" s="5" t="s">
        <v>17</v>
      </c>
      <c r="C6" s="5" t="s">
        <v>11</v>
      </c>
      <c r="D6" s="5" t="s">
        <v>18</v>
      </c>
      <c r="E6" s="5">
        <v>5</v>
      </c>
      <c r="F6" s="5">
        <v>800</v>
      </c>
      <c r="G6" s="10">
        <v>4000</v>
      </c>
      <c r="H6" s="10">
        <f t="shared" si="0"/>
        <v>400</v>
      </c>
      <c r="I6" s="10">
        <f t="shared" si="1"/>
        <v>800</v>
      </c>
      <c r="J6" s="10">
        <f t="shared" si="2"/>
        <v>720</v>
      </c>
      <c r="K6" s="6" t="str">
        <f t="shared" si="3"/>
        <v>Low Sales</v>
      </c>
    </row>
    <row r="7" spans="1:11" x14ac:dyDescent="0.3">
      <c r="A7" s="4">
        <v>106</v>
      </c>
      <c r="B7" s="5" t="s">
        <v>7</v>
      </c>
      <c r="C7" s="5" t="s">
        <v>8</v>
      </c>
      <c r="D7" s="5" t="s">
        <v>12</v>
      </c>
      <c r="E7" s="5">
        <v>1</v>
      </c>
      <c r="F7" s="5">
        <v>55000</v>
      </c>
      <c r="G7" s="10">
        <v>55000</v>
      </c>
      <c r="H7" s="10">
        <f t="shared" si="0"/>
        <v>5500</v>
      </c>
      <c r="I7" s="10">
        <f t="shared" si="1"/>
        <v>11000</v>
      </c>
      <c r="J7" s="10">
        <f t="shared" si="2"/>
        <v>9900</v>
      </c>
      <c r="K7" s="6" t="str">
        <f t="shared" si="3"/>
        <v>High Sales</v>
      </c>
    </row>
    <row r="8" spans="1:11" x14ac:dyDescent="0.3">
      <c r="A8" s="4">
        <v>107</v>
      </c>
      <c r="B8" s="5" t="s">
        <v>19</v>
      </c>
      <c r="C8" s="5" t="s">
        <v>16</v>
      </c>
      <c r="D8" s="5" t="s">
        <v>14</v>
      </c>
      <c r="E8" s="5">
        <v>2</v>
      </c>
      <c r="F8" s="5">
        <v>1500</v>
      </c>
      <c r="G8" s="10">
        <v>3000</v>
      </c>
      <c r="H8" s="10">
        <f t="shared" si="0"/>
        <v>300</v>
      </c>
      <c r="I8" s="10">
        <f t="shared" si="1"/>
        <v>600</v>
      </c>
      <c r="J8" s="10">
        <f t="shared" si="2"/>
        <v>540</v>
      </c>
      <c r="K8" s="6" t="str">
        <f t="shared" si="3"/>
        <v>Low Sales</v>
      </c>
    </row>
    <row r="9" spans="1:11" x14ac:dyDescent="0.3">
      <c r="A9" s="4">
        <v>108</v>
      </c>
      <c r="B9" s="5" t="s">
        <v>10</v>
      </c>
      <c r="C9" s="5" t="s">
        <v>11</v>
      </c>
      <c r="D9" s="5" t="s">
        <v>9</v>
      </c>
      <c r="E9" s="5">
        <v>6</v>
      </c>
      <c r="F9" s="5">
        <v>2200</v>
      </c>
      <c r="G9" s="10">
        <v>13200</v>
      </c>
      <c r="H9" s="10">
        <f t="shared" si="0"/>
        <v>1320</v>
      </c>
      <c r="I9" s="10">
        <f t="shared" si="1"/>
        <v>2640</v>
      </c>
      <c r="J9" s="10">
        <f t="shared" si="2"/>
        <v>2376</v>
      </c>
      <c r="K9" s="6" t="str">
        <f t="shared" si="3"/>
        <v>Low Sales</v>
      </c>
    </row>
    <row r="10" spans="1:11" x14ac:dyDescent="0.3">
      <c r="A10" s="4">
        <v>109</v>
      </c>
      <c r="B10" s="5" t="s">
        <v>13</v>
      </c>
      <c r="C10" s="5" t="s">
        <v>8</v>
      </c>
      <c r="D10" s="5" t="s">
        <v>18</v>
      </c>
      <c r="E10" s="5">
        <v>2</v>
      </c>
      <c r="F10" s="5">
        <v>25000</v>
      </c>
      <c r="G10" s="10">
        <v>50000</v>
      </c>
      <c r="H10" s="10">
        <f t="shared" si="0"/>
        <v>5000</v>
      </c>
      <c r="I10" s="10">
        <f t="shared" si="1"/>
        <v>10000</v>
      </c>
      <c r="J10" s="10">
        <f t="shared" si="2"/>
        <v>9000</v>
      </c>
      <c r="K10" s="6" t="str">
        <f t="shared" si="3"/>
        <v>High Sales</v>
      </c>
    </row>
    <row r="11" spans="1:11" x14ac:dyDescent="0.3">
      <c r="A11" s="4">
        <v>110</v>
      </c>
      <c r="B11" s="5" t="s">
        <v>15</v>
      </c>
      <c r="C11" s="5" t="s">
        <v>16</v>
      </c>
      <c r="D11" s="5" t="s">
        <v>12</v>
      </c>
      <c r="E11" s="5">
        <v>3</v>
      </c>
      <c r="F11" s="5">
        <v>3000</v>
      </c>
      <c r="G11" s="10">
        <v>9000</v>
      </c>
      <c r="H11" s="10">
        <f t="shared" si="0"/>
        <v>900</v>
      </c>
      <c r="I11" s="10">
        <f t="shared" si="1"/>
        <v>1800</v>
      </c>
      <c r="J11" s="10">
        <f t="shared" si="2"/>
        <v>1620</v>
      </c>
      <c r="K11" s="6" t="str">
        <f t="shared" si="3"/>
        <v>Low Sales</v>
      </c>
    </row>
    <row r="12" spans="1:11" x14ac:dyDescent="0.3">
      <c r="A12" s="4">
        <v>111</v>
      </c>
      <c r="B12" s="5" t="s">
        <v>20</v>
      </c>
      <c r="C12" s="5" t="s">
        <v>8</v>
      </c>
      <c r="D12" s="5" t="s">
        <v>9</v>
      </c>
      <c r="E12" s="5">
        <v>4</v>
      </c>
      <c r="F12" s="5">
        <v>4000</v>
      </c>
      <c r="G12" s="10">
        <v>16000</v>
      </c>
      <c r="H12" s="10">
        <f t="shared" si="0"/>
        <v>1600</v>
      </c>
      <c r="I12" s="10">
        <f t="shared" si="1"/>
        <v>3200</v>
      </c>
      <c r="J12" s="10">
        <f t="shared" si="2"/>
        <v>2880</v>
      </c>
      <c r="K12" s="6" t="str">
        <f t="shared" si="3"/>
        <v>Low Sales</v>
      </c>
    </row>
    <row r="13" spans="1:11" x14ac:dyDescent="0.3">
      <c r="A13" s="4">
        <v>112</v>
      </c>
      <c r="B13" s="5" t="s">
        <v>21</v>
      </c>
      <c r="C13" s="5" t="s">
        <v>11</v>
      </c>
      <c r="D13" s="5" t="s">
        <v>14</v>
      </c>
      <c r="E13" s="5">
        <v>2</v>
      </c>
      <c r="F13" s="5">
        <v>3500</v>
      </c>
      <c r="G13" s="10">
        <v>7000</v>
      </c>
      <c r="H13" s="10">
        <f t="shared" si="0"/>
        <v>700</v>
      </c>
      <c r="I13" s="10">
        <f t="shared" si="1"/>
        <v>1400</v>
      </c>
      <c r="J13" s="10">
        <f t="shared" si="2"/>
        <v>1260</v>
      </c>
      <c r="K13" s="6" t="str">
        <f t="shared" si="3"/>
        <v>Low Sales</v>
      </c>
    </row>
    <row r="14" spans="1:11" x14ac:dyDescent="0.3">
      <c r="A14" s="4">
        <v>113</v>
      </c>
      <c r="B14" s="5" t="s">
        <v>22</v>
      </c>
      <c r="C14" s="5" t="s">
        <v>16</v>
      </c>
      <c r="D14" s="5" t="s">
        <v>18</v>
      </c>
      <c r="E14" s="5">
        <v>3</v>
      </c>
      <c r="F14" s="5">
        <v>1800</v>
      </c>
      <c r="G14" s="10">
        <v>5400</v>
      </c>
      <c r="H14" s="10">
        <f t="shared" si="0"/>
        <v>540</v>
      </c>
      <c r="I14" s="10">
        <f t="shared" si="1"/>
        <v>1080</v>
      </c>
      <c r="J14" s="10">
        <f t="shared" si="2"/>
        <v>972</v>
      </c>
      <c r="K14" s="6" t="str">
        <f t="shared" si="3"/>
        <v>Low Sales</v>
      </c>
    </row>
    <row r="15" spans="1:11" x14ac:dyDescent="0.3">
      <c r="A15" s="4">
        <v>114</v>
      </c>
      <c r="B15" s="5" t="s">
        <v>23</v>
      </c>
      <c r="C15" s="5" t="s">
        <v>8</v>
      </c>
      <c r="D15" s="5" t="s">
        <v>12</v>
      </c>
      <c r="E15" s="5">
        <v>1</v>
      </c>
      <c r="F15" s="5">
        <v>45000</v>
      </c>
      <c r="G15" s="10">
        <v>45000</v>
      </c>
      <c r="H15" s="10">
        <f t="shared" si="0"/>
        <v>4500</v>
      </c>
      <c r="I15" s="10">
        <f t="shared" si="1"/>
        <v>9000</v>
      </c>
      <c r="J15" s="10">
        <f t="shared" si="2"/>
        <v>8100</v>
      </c>
      <c r="K15" s="6" t="str">
        <f t="shared" si="3"/>
        <v>High Sales</v>
      </c>
    </row>
    <row r="16" spans="1:11" x14ac:dyDescent="0.3">
      <c r="A16" s="4">
        <v>115</v>
      </c>
      <c r="B16" s="5" t="s">
        <v>24</v>
      </c>
      <c r="C16" s="5" t="s">
        <v>11</v>
      </c>
      <c r="D16" s="5" t="s">
        <v>9</v>
      </c>
      <c r="E16" s="5">
        <v>5</v>
      </c>
      <c r="F16" s="5">
        <v>1200</v>
      </c>
      <c r="G16" s="10">
        <v>6000</v>
      </c>
      <c r="H16" s="10">
        <f t="shared" si="0"/>
        <v>600</v>
      </c>
      <c r="I16" s="10">
        <f t="shared" si="1"/>
        <v>1200</v>
      </c>
      <c r="J16" s="10">
        <f t="shared" si="2"/>
        <v>1080</v>
      </c>
      <c r="K16" s="6" t="str">
        <f t="shared" si="3"/>
        <v>Low Sales</v>
      </c>
    </row>
    <row r="17" spans="1:11" x14ac:dyDescent="0.3">
      <c r="A17" s="4">
        <v>116</v>
      </c>
      <c r="B17" s="5" t="s">
        <v>25</v>
      </c>
      <c r="C17" s="5" t="s">
        <v>8</v>
      </c>
      <c r="D17" s="5" t="s">
        <v>14</v>
      </c>
      <c r="E17" s="5">
        <v>2</v>
      </c>
      <c r="F17" s="5">
        <v>12000</v>
      </c>
      <c r="G17" s="10">
        <v>24000</v>
      </c>
      <c r="H17" s="10">
        <f t="shared" si="0"/>
        <v>2400</v>
      </c>
      <c r="I17" s="10">
        <f t="shared" si="1"/>
        <v>4800</v>
      </c>
      <c r="J17" s="10">
        <f t="shared" si="2"/>
        <v>4320</v>
      </c>
      <c r="K17" s="6" t="str">
        <f t="shared" si="3"/>
        <v>Low Sales</v>
      </c>
    </row>
    <row r="18" spans="1:11" x14ac:dyDescent="0.3">
      <c r="A18" s="4">
        <v>117</v>
      </c>
      <c r="B18" s="5" t="s">
        <v>26</v>
      </c>
      <c r="C18" s="5" t="s">
        <v>16</v>
      </c>
      <c r="D18" s="5" t="s">
        <v>12</v>
      </c>
      <c r="E18" s="5">
        <v>6</v>
      </c>
      <c r="F18" s="5">
        <v>700</v>
      </c>
      <c r="G18" s="10">
        <v>4200</v>
      </c>
      <c r="H18" s="10">
        <f t="shared" si="0"/>
        <v>420</v>
      </c>
      <c r="I18" s="10">
        <f t="shared" si="1"/>
        <v>840</v>
      </c>
      <c r="J18" s="10">
        <f t="shared" si="2"/>
        <v>756</v>
      </c>
      <c r="K18" s="6" t="str">
        <f t="shared" si="3"/>
        <v>Low Sales</v>
      </c>
    </row>
    <row r="19" spans="1:11" x14ac:dyDescent="0.3">
      <c r="A19" s="4">
        <v>118</v>
      </c>
      <c r="B19" s="5" t="s">
        <v>27</v>
      </c>
      <c r="C19" s="5" t="s">
        <v>11</v>
      </c>
      <c r="D19" s="5" t="s">
        <v>18</v>
      </c>
      <c r="E19" s="5">
        <v>4</v>
      </c>
      <c r="F19" s="5">
        <v>1800</v>
      </c>
      <c r="G19" s="10">
        <v>7200</v>
      </c>
      <c r="H19" s="10">
        <f t="shared" si="0"/>
        <v>720</v>
      </c>
      <c r="I19" s="10">
        <f t="shared" si="1"/>
        <v>1440</v>
      </c>
      <c r="J19" s="10">
        <f t="shared" si="2"/>
        <v>1296</v>
      </c>
      <c r="K19" s="6" t="str">
        <f t="shared" si="3"/>
        <v>Low Sales</v>
      </c>
    </row>
    <row r="20" spans="1:11" x14ac:dyDescent="0.3">
      <c r="A20" s="4">
        <v>119</v>
      </c>
      <c r="B20" s="5" t="s">
        <v>28</v>
      </c>
      <c r="C20" s="5" t="s">
        <v>8</v>
      </c>
      <c r="D20" s="5" t="s">
        <v>9</v>
      </c>
      <c r="E20" s="5">
        <v>1</v>
      </c>
      <c r="F20" s="5">
        <v>60000</v>
      </c>
      <c r="G20" s="10">
        <v>60000</v>
      </c>
      <c r="H20" s="10">
        <f t="shared" si="0"/>
        <v>6000</v>
      </c>
      <c r="I20" s="10">
        <f t="shared" si="1"/>
        <v>12000</v>
      </c>
      <c r="J20" s="10">
        <f t="shared" si="2"/>
        <v>10800</v>
      </c>
      <c r="K20" s="6" t="str">
        <f t="shared" si="3"/>
        <v>High Sales</v>
      </c>
    </row>
    <row r="21" spans="1:11" x14ac:dyDescent="0.3">
      <c r="A21" s="7">
        <v>120</v>
      </c>
      <c r="B21" s="8" t="s">
        <v>29</v>
      </c>
      <c r="C21" s="8" t="s">
        <v>16</v>
      </c>
      <c r="D21" s="8" t="s">
        <v>14</v>
      </c>
      <c r="E21" s="8">
        <v>2</v>
      </c>
      <c r="F21" s="8">
        <v>5000</v>
      </c>
      <c r="G21" s="11">
        <v>10000</v>
      </c>
      <c r="H21" s="11">
        <f t="shared" si="0"/>
        <v>1000</v>
      </c>
      <c r="I21" s="11">
        <f t="shared" si="1"/>
        <v>2000</v>
      </c>
      <c r="J21" s="11">
        <f t="shared" si="2"/>
        <v>1800</v>
      </c>
      <c r="K21" s="9" t="str">
        <f t="shared" si="3"/>
        <v>Low Sales</v>
      </c>
    </row>
  </sheetData>
  <conditionalFormatting sqref="G2:G21">
    <cfRule type="cellIs" dxfId="3" priority="1" operator="greaterThan">
      <formula>50000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FE22B-8F6C-4940-872C-334A4EC5F599}">
  <dimension ref="A1:T53"/>
  <sheetViews>
    <sheetView zoomScale="60" zoomScaleNormal="36" workbookViewId="0">
      <selection activeCell="B52" sqref="B52"/>
    </sheetView>
  </sheetViews>
  <sheetFormatPr defaultRowHeight="14.4" x14ac:dyDescent="0.3"/>
  <cols>
    <col min="1" max="1" width="10.88671875" customWidth="1"/>
    <col min="2" max="2" width="14" bestFit="1" customWidth="1"/>
    <col min="6" max="6" width="19.21875" bestFit="1" customWidth="1"/>
    <col min="7" max="7" width="17.88671875" bestFit="1" customWidth="1"/>
    <col min="14" max="14" width="12.21875" bestFit="1" customWidth="1"/>
    <col min="15" max="15" width="14" bestFit="1" customWidth="1"/>
    <col min="18" max="18" width="13.44140625" bestFit="1" customWidth="1"/>
    <col min="19" max="19" width="19.21875" bestFit="1" customWidth="1"/>
    <col min="20" max="20" width="17.109375" bestFit="1" customWidth="1"/>
  </cols>
  <sheetData>
    <row r="1" spans="1:20" x14ac:dyDescent="0.3">
      <c r="A1" s="14" t="s">
        <v>2</v>
      </c>
      <c r="B1" s="19" t="s">
        <v>6</v>
      </c>
    </row>
    <row r="2" spans="1:20" x14ac:dyDescent="0.3">
      <c r="A2" s="15" t="s">
        <v>8</v>
      </c>
      <c r="B2" s="17">
        <v>100000</v>
      </c>
      <c r="N2" s="14" t="s">
        <v>3</v>
      </c>
      <c r="O2" s="19" t="s">
        <v>6</v>
      </c>
    </row>
    <row r="3" spans="1:20" x14ac:dyDescent="0.3">
      <c r="A3" s="5" t="s">
        <v>11</v>
      </c>
      <c r="B3" s="10">
        <v>6000</v>
      </c>
      <c r="F3" s="20" t="s">
        <v>34</v>
      </c>
      <c r="G3" t="s">
        <v>36</v>
      </c>
      <c r="N3" s="15" t="s">
        <v>9</v>
      </c>
      <c r="O3" s="17">
        <v>100000</v>
      </c>
    </row>
    <row r="4" spans="1:20" x14ac:dyDescent="0.3">
      <c r="A4" s="15" t="s">
        <v>8</v>
      </c>
      <c r="B4" s="17">
        <v>30000</v>
      </c>
      <c r="F4" s="21" t="s">
        <v>8</v>
      </c>
      <c r="G4" s="1">
        <v>380000</v>
      </c>
      <c r="N4" s="5" t="s">
        <v>12</v>
      </c>
      <c r="O4" s="10">
        <v>6000</v>
      </c>
    </row>
    <row r="5" spans="1:20" x14ac:dyDescent="0.3">
      <c r="A5" s="5" t="s">
        <v>16</v>
      </c>
      <c r="B5" s="10">
        <v>10000</v>
      </c>
      <c r="F5" s="21" t="s">
        <v>35</v>
      </c>
      <c r="G5" s="1">
        <v>380000</v>
      </c>
      <c r="N5" s="15" t="s">
        <v>14</v>
      </c>
      <c r="O5" s="17">
        <v>30000</v>
      </c>
    </row>
    <row r="6" spans="1:20" x14ac:dyDescent="0.3">
      <c r="A6" s="15" t="s">
        <v>11</v>
      </c>
      <c r="B6" s="17">
        <v>4000</v>
      </c>
      <c r="N6" s="5" t="s">
        <v>9</v>
      </c>
      <c r="O6" s="10">
        <v>10000</v>
      </c>
    </row>
    <row r="7" spans="1:20" x14ac:dyDescent="0.3">
      <c r="A7" s="5" t="s">
        <v>8</v>
      </c>
      <c r="B7" s="10">
        <v>55000</v>
      </c>
      <c r="N7" s="15" t="s">
        <v>18</v>
      </c>
      <c r="O7" s="17">
        <v>4000</v>
      </c>
      <c r="S7" s="20" t="s">
        <v>34</v>
      </c>
      <c r="T7" t="s">
        <v>36</v>
      </c>
    </row>
    <row r="8" spans="1:20" x14ac:dyDescent="0.3">
      <c r="A8" s="15" t="s">
        <v>16</v>
      </c>
      <c r="B8" s="17">
        <v>3000</v>
      </c>
      <c r="N8" s="5" t="s">
        <v>12</v>
      </c>
      <c r="O8" s="10">
        <v>55000</v>
      </c>
      <c r="S8" s="21" t="s">
        <v>14</v>
      </c>
      <c r="T8" s="28">
        <v>74000</v>
      </c>
    </row>
    <row r="9" spans="1:20" x14ac:dyDescent="0.3">
      <c r="A9" s="5" t="s">
        <v>11</v>
      </c>
      <c r="B9" s="10">
        <v>13200</v>
      </c>
      <c r="N9" s="15" t="s">
        <v>14</v>
      </c>
      <c r="O9" s="17">
        <v>3000</v>
      </c>
      <c r="S9" s="21" t="s">
        <v>35</v>
      </c>
      <c r="T9" s="28">
        <v>74000</v>
      </c>
    </row>
    <row r="10" spans="1:20" x14ac:dyDescent="0.3">
      <c r="A10" s="15" t="s">
        <v>8</v>
      </c>
      <c r="B10" s="17">
        <v>50000</v>
      </c>
      <c r="N10" s="5" t="s">
        <v>9</v>
      </c>
      <c r="O10" s="10">
        <v>13200</v>
      </c>
    </row>
    <row r="11" spans="1:20" x14ac:dyDescent="0.3">
      <c r="A11" s="5" t="s">
        <v>16</v>
      </c>
      <c r="B11" s="10">
        <v>9000</v>
      </c>
      <c r="N11" s="15" t="s">
        <v>18</v>
      </c>
      <c r="O11" s="17">
        <v>50000</v>
      </c>
    </row>
    <row r="12" spans="1:20" x14ac:dyDescent="0.3">
      <c r="A12" s="15" t="s">
        <v>8</v>
      </c>
      <c r="B12" s="17">
        <v>16000</v>
      </c>
      <c r="N12" s="5" t="s">
        <v>12</v>
      </c>
      <c r="O12" s="10">
        <v>9000</v>
      </c>
    </row>
    <row r="13" spans="1:20" x14ac:dyDescent="0.3">
      <c r="A13" s="5" t="s">
        <v>11</v>
      </c>
      <c r="B13" s="10">
        <v>7000</v>
      </c>
      <c r="N13" s="15" t="s">
        <v>9</v>
      </c>
      <c r="O13" s="17">
        <v>16000</v>
      </c>
    </row>
    <row r="14" spans="1:20" x14ac:dyDescent="0.3">
      <c r="A14" s="15" t="s">
        <v>16</v>
      </c>
      <c r="B14" s="17">
        <v>5400</v>
      </c>
      <c r="N14" s="5" t="s">
        <v>14</v>
      </c>
      <c r="O14" s="10">
        <v>7000</v>
      </c>
    </row>
    <row r="15" spans="1:20" x14ac:dyDescent="0.3">
      <c r="A15" s="5" t="s">
        <v>8</v>
      </c>
      <c r="B15" s="10">
        <v>45000</v>
      </c>
      <c r="N15" s="15" t="s">
        <v>18</v>
      </c>
      <c r="O15" s="17">
        <v>5400</v>
      </c>
    </row>
    <row r="16" spans="1:20" x14ac:dyDescent="0.3">
      <c r="A16" s="15" t="s">
        <v>11</v>
      </c>
      <c r="B16" s="17">
        <v>6000</v>
      </c>
      <c r="N16" s="5" t="s">
        <v>12</v>
      </c>
      <c r="O16" s="10">
        <v>45000</v>
      </c>
    </row>
    <row r="17" spans="1:15" x14ac:dyDescent="0.3">
      <c r="A17" s="5" t="s">
        <v>8</v>
      </c>
      <c r="B17" s="10">
        <v>24000</v>
      </c>
      <c r="N17" s="15" t="s">
        <v>9</v>
      </c>
      <c r="O17" s="17">
        <v>6000</v>
      </c>
    </row>
    <row r="18" spans="1:15" x14ac:dyDescent="0.3">
      <c r="A18" s="15" t="s">
        <v>16</v>
      </c>
      <c r="B18" s="17">
        <v>4200</v>
      </c>
      <c r="N18" s="5" t="s">
        <v>14</v>
      </c>
      <c r="O18" s="10">
        <v>24000</v>
      </c>
    </row>
    <row r="19" spans="1:15" x14ac:dyDescent="0.3">
      <c r="A19" s="5" t="s">
        <v>11</v>
      </c>
      <c r="B19" s="10">
        <v>7200</v>
      </c>
      <c r="N19" s="15" t="s">
        <v>12</v>
      </c>
      <c r="O19" s="17">
        <v>4200</v>
      </c>
    </row>
    <row r="20" spans="1:15" x14ac:dyDescent="0.3">
      <c r="A20" s="15" t="s">
        <v>8</v>
      </c>
      <c r="B20" s="17">
        <v>60000</v>
      </c>
      <c r="N20" s="5" t="s">
        <v>18</v>
      </c>
      <c r="O20" s="10">
        <v>7200</v>
      </c>
    </row>
    <row r="21" spans="1:15" x14ac:dyDescent="0.3">
      <c r="A21" s="16" t="s">
        <v>16</v>
      </c>
      <c r="B21" s="18">
        <v>10000</v>
      </c>
      <c r="N21" s="15" t="s">
        <v>9</v>
      </c>
      <c r="O21" s="17">
        <v>60000</v>
      </c>
    </row>
    <row r="22" spans="1:15" x14ac:dyDescent="0.3">
      <c r="N22" s="16" t="s">
        <v>14</v>
      </c>
      <c r="O22" s="18">
        <v>10000</v>
      </c>
    </row>
    <row r="32" spans="1:15" x14ac:dyDescent="0.3">
      <c r="A32" s="14" t="s">
        <v>1</v>
      </c>
      <c r="B32" s="19" t="s">
        <v>6</v>
      </c>
    </row>
    <row r="33" spans="1:19" x14ac:dyDescent="0.3">
      <c r="A33" s="15" t="s">
        <v>7</v>
      </c>
      <c r="B33" s="17">
        <v>100000</v>
      </c>
      <c r="N33" s="22" t="s">
        <v>33</v>
      </c>
    </row>
    <row r="34" spans="1:19" x14ac:dyDescent="0.3">
      <c r="A34" s="5" t="s">
        <v>10</v>
      </c>
      <c r="B34" s="10">
        <v>6000</v>
      </c>
      <c r="N34" s="23" t="s">
        <v>37</v>
      </c>
    </row>
    <row r="35" spans="1:19" x14ac:dyDescent="0.3">
      <c r="A35" s="15" t="s">
        <v>13</v>
      </c>
      <c r="B35" s="17">
        <v>30000</v>
      </c>
      <c r="N35" s="24" t="s">
        <v>38</v>
      </c>
    </row>
    <row r="36" spans="1:19" x14ac:dyDescent="0.3">
      <c r="A36" s="5" t="s">
        <v>15</v>
      </c>
      <c r="B36" s="10">
        <v>10000</v>
      </c>
      <c r="F36" s="20" t="s">
        <v>34</v>
      </c>
      <c r="G36" t="s">
        <v>36</v>
      </c>
      <c r="N36" s="23" t="str">
        <f t="shared" ref="N36:N53" si="0">IF(J36&gt;30000,"High Sales","Low Sales")</f>
        <v>Low Sales</v>
      </c>
    </row>
    <row r="37" spans="1:19" x14ac:dyDescent="0.3">
      <c r="A37" s="15" t="s">
        <v>17</v>
      </c>
      <c r="B37" s="17">
        <v>4000</v>
      </c>
      <c r="F37" s="21" t="s">
        <v>22</v>
      </c>
      <c r="G37" s="28">
        <v>5400</v>
      </c>
      <c r="N37" s="24" t="s">
        <v>38</v>
      </c>
      <c r="R37" s="20" t="s">
        <v>34</v>
      </c>
      <c r="S37" t="s">
        <v>39</v>
      </c>
    </row>
    <row r="38" spans="1:19" x14ac:dyDescent="0.3">
      <c r="A38" s="5" t="s">
        <v>7</v>
      </c>
      <c r="B38" s="10">
        <v>55000</v>
      </c>
      <c r="F38" s="21" t="s">
        <v>19</v>
      </c>
      <c r="G38" s="28">
        <v>3000</v>
      </c>
      <c r="N38" s="23" t="str">
        <f t="shared" si="0"/>
        <v>Low Sales</v>
      </c>
      <c r="R38" s="21" t="s">
        <v>37</v>
      </c>
      <c r="S38">
        <v>5</v>
      </c>
    </row>
    <row r="39" spans="1:19" x14ac:dyDescent="0.3">
      <c r="A39" s="15" t="s">
        <v>19</v>
      </c>
      <c r="B39" s="17">
        <v>3000</v>
      </c>
      <c r="F39" s="21" t="s">
        <v>26</v>
      </c>
      <c r="G39" s="28">
        <v>4200</v>
      </c>
      <c r="N39" s="24" t="s">
        <v>37</v>
      </c>
      <c r="R39" s="21" t="s">
        <v>38</v>
      </c>
      <c r="S39">
        <v>15</v>
      </c>
    </row>
    <row r="40" spans="1:19" x14ac:dyDescent="0.3">
      <c r="A40" s="5" t="s">
        <v>10</v>
      </c>
      <c r="B40" s="10">
        <v>13200</v>
      </c>
      <c r="F40" s="21" t="s">
        <v>28</v>
      </c>
      <c r="G40" s="28">
        <v>60000</v>
      </c>
      <c r="N40" s="23" t="str">
        <f t="shared" si="0"/>
        <v>Low Sales</v>
      </c>
      <c r="R40" s="21" t="s">
        <v>35</v>
      </c>
      <c r="S40">
        <v>20</v>
      </c>
    </row>
    <row r="41" spans="1:19" x14ac:dyDescent="0.3">
      <c r="A41" s="15" t="s">
        <v>13</v>
      </c>
      <c r="B41" s="17">
        <v>50000</v>
      </c>
      <c r="F41" s="21" t="s">
        <v>29</v>
      </c>
      <c r="G41" s="28">
        <v>10000</v>
      </c>
      <c r="N41" s="24" t="str">
        <f t="shared" si="0"/>
        <v>Low Sales</v>
      </c>
    </row>
    <row r="42" spans="1:19" x14ac:dyDescent="0.3">
      <c r="A42" s="5" t="s">
        <v>15</v>
      </c>
      <c r="B42" s="10">
        <v>9000</v>
      </c>
      <c r="F42" s="21" t="s">
        <v>20</v>
      </c>
      <c r="G42" s="28">
        <v>16000</v>
      </c>
      <c r="N42" s="23" t="s">
        <v>37</v>
      </c>
    </row>
    <row r="43" spans="1:19" x14ac:dyDescent="0.3">
      <c r="A43" s="15" t="s">
        <v>20</v>
      </c>
      <c r="B43" s="17">
        <v>16000</v>
      </c>
      <c r="F43" s="21" t="s">
        <v>27</v>
      </c>
      <c r="G43" s="28">
        <v>7200</v>
      </c>
      <c r="N43" s="24" t="str">
        <f t="shared" si="0"/>
        <v>Low Sales</v>
      </c>
    </row>
    <row r="44" spans="1:19" x14ac:dyDescent="0.3">
      <c r="A44" s="5" t="s">
        <v>21</v>
      </c>
      <c r="B44" s="10">
        <v>7000</v>
      </c>
      <c r="F44" s="21" t="s">
        <v>24</v>
      </c>
      <c r="G44" s="28">
        <v>6000</v>
      </c>
      <c r="N44" s="23" t="str">
        <f t="shared" si="0"/>
        <v>Low Sales</v>
      </c>
    </row>
    <row r="45" spans="1:19" x14ac:dyDescent="0.3">
      <c r="A45" s="15" t="s">
        <v>22</v>
      </c>
      <c r="B45" s="17">
        <v>5400</v>
      </c>
      <c r="F45" s="21" t="s">
        <v>7</v>
      </c>
      <c r="G45" s="28">
        <v>155000</v>
      </c>
      <c r="N45" s="24" t="str">
        <f t="shared" si="0"/>
        <v>Low Sales</v>
      </c>
    </row>
    <row r="46" spans="1:19" x14ac:dyDescent="0.3">
      <c r="A46" s="5" t="s">
        <v>23</v>
      </c>
      <c r="B46" s="10">
        <v>45000</v>
      </c>
      <c r="F46" s="21" t="s">
        <v>13</v>
      </c>
      <c r="G46" s="28">
        <v>80000</v>
      </c>
      <c r="N46" s="23" t="str">
        <f t="shared" si="0"/>
        <v>Low Sales</v>
      </c>
    </row>
    <row r="47" spans="1:19" x14ac:dyDescent="0.3">
      <c r="A47" s="15" t="s">
        <v>24</v>
      </c>
      <c r="B47" s="17">
        <v>6000</v>
      </c>
      <c r="F47" s="21" t="s">
        <v>21</v>
      </c>
      <c r="G47" s="28">
        <v>7000</v>
      </c>
      <c r="N47" s="24" t="s">
        <v>37</v>
      </c>
    </row>
    <row r="48" spans="1:19" x14ac:dyDescent="0.3">
      <c r="A48" s="5" t="s">
        <v>25</v>
      </c>
      <c r="B48" s="10">
        <v>24000</v>
      </c>
      <c r="F48" s="21" t="s">
        <v>10</v>
      </c>
      <c r="G48" s="28">
        <v>19200</v>
      </c>
      <c r="N48" s="23" t="str">
        <f t="shared" si="0"/>
        <v>Low Sales</v>
      </c>
    </row>
    <row r="49" spans="1:14" x14ac:dyDescent="0.3">
      <c r="A49" s="15" t="s">
        <v>26</v>
      </c>
      <c r="B49" s="17">
        <v>4200</v>
      </c>
      <c r="F49" s="21" t="s">
        <v>25</v>
      </c>
      <c r="G49" s="28">
        <v>24000</v>
      </c>
      <c r="N49" s="24" t="str">
        <f t="shared" si="0"/>
        <v>Low Sales</v>
      </c>
    </row>
    <row r="50" spans="1:14" x14ac:dyDescent="0.3">
      <c r="A50" s="5" t="s">
        <v>27</v>
      </c>
      <c r="B50" s="10">
        <v>7200</v>
      </c>
      <c r="F50" s="21" t="s">
        <v>23</v>
      </c>
      <c r="G50" s="28">
        <v>45000</v>
      </c>
      <c r="N50" s="23" t="str">
        <f t="shared" si="0"/>
        <v>Low Sales</v>
      </c>
    </row>
    <row r="51" spans="1:14" x14ac:dyDescent="0.3">
      <c r="A51" s="15" t="s">
        <v>28</v>
      </c>
      <c r="B51" s="17">
        <v>60000</v>
      </c>
      <c r="F51" s="21" t="s">
        <v>17</v>
      </c>
      <c r="G51" s="28">
        <v>4000</v>
      </c>
      <c r="N51" s="24" t="str">
        <f t="shared" si="0"/>
        <v>Low Sales</v>
      </c>
    </row>
    <row r="52" spans="1:14" x14ac:dyDescent="0.3">
      <c r="A52" s="16" t="s">
        <v>29</v>
      </c>
      <c r="B52" s="18">
        <v>10000</v>
      </c>
      <c r="F52" s="21" t="s">
        <v>15</v>
      </c>
      <c r="G52" s="28">
        <v>19000</v>
      </c>
      <c r="N52" s="23" t="s">
        <v>37</v>
      </c>
    </row>
    <row r="53" spans="1:14" x14ac:dyDescent="0.3">
      <c r="F53" s="21" t="s">
        <v>35</v>
      </c>
      <c r="G53" s="28">
        <v>465000</v>
      </c>
      <c r="N53" s="25" t="str">
        <f t="shared" si="0"/>
        <v>Low Sales</v>
      </c>
    </row>
  </sheetData>
  <conditionalFormatting sqref="B2:B21">
    <cfRule type="cellIs" dxfId="2" priority="3" operator="greaterThan">
      <formula>50000</formula>
    </cfRule>
  </conditionalFormatting>
  <conditionalFormatting sqref="B33:B52">
    <cfRule type="cellIs" dxfId="1" priority="1" operator="greaterThan">
      <formula>50000</formula>
    </cfRule>
  </conditionalFormatting>
  <conditionalFormatting sqref="O3:O22">
    <cfRule type="cellIs" dxfId="0" priority="2" operator="greaterThan">
      <formula>50000</formula>
    </cfRule>
  </conditionalFormatting>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6727E-8632-42A4-8B10-5245E6EFB227}">
  <dimension ref="A1:U79"/>
  <sheetViews>
    <sheetView showGridLines="0" tabSelected="1" zoomScale="24" zoomScaleNormal="38" workbookViewId="0">
      <selection activeCell="C77" sqref="C77"/>
    </sheetView>
  </sheetViews>
  <sheetFormatPr defaultRowHeight="14.4" x14ac:dyDescent="0.3"/>
  <cols>
    <col min="1" max="1" width="122.33203125" bestFit="1" customWidth="1"/>
    <col min="3" max="3" width="6.6640625" customWidth="1"/>
    <col min="4" max="4" width="66.88671875" customWidth="1"/>
    <col min="7" max="7" width="69.6640625" customWidth="1"/>
    <col min="10" max="10" width="63.109375" customWidth="1"/>
  </cols>
  <sheetData>
    <row r="1" spans="1:21" s="26" customFormat="1" ht="36" customHeight="1" x14ac:dyDescent="0.3">
      <c r="A1" s="30" t="s">
        <v>40</v>
      </c>
      <c r="B1" s="31"/>
      <c r="C1" s="31"/>
      <c r="D1" s="31"/>
      <c r="E1" s="31"/>
      <c r="F1" s="31"/>
      <c r="G1" s="31"/>
      <c r="H1" s="31"/>
      <c r="I1" s="31"/>
      <c r="J1" s="31"/>
      <c r="K1" s="31"/>
      <c r="L1" s="31"/>
      <c r="M1" s="31"/>
      <c r="N1" s="31"/>
      <c r="O1" s="31"/>
      <c r="P1" s="31"/>
      <c r="Q1" s="31"/>
      <c r="R1" s="31"/>
      <c r="S1" s="31"/>
      <c r="T1" s="31"/>
      <c r="U1" s="32"/>
    </row>
    <row r="2" spans="1:21" s="26" customFormat="1" ht="14.4" customHeight="1" x14ac:dyDescent="0.3">
      <c r="A2" s="33"/>
      <c r="B2" s="34"/>
      <c r="C2" s="34"/>
      <c r="D2" s="34"/>
      <c r="E2" s="34"/>
      <c r="F2" s="34"/>
      <c r="G2" s="34"/>
      <c r="H2" s="34"/>
      <c r="I2" s="34"/>
      <c r="J2" s="34"/>
      <c r="K2" s="34"/>
      <c r="L2" s="34"/>
      <c r="M2" s="34"/>
      <c r="N2" s="34"/>
      <c r="O2" s="34"/>
      <c r="P2" s="34"/>
      <c r="Q2" s="34"/>
      <c r="R2" s="34"/>
      <c r="S2" s="34"/>
      <c r="T2" s="34"/>
      <c r="U2" s="35"/>
    </row>
    <row r="3" spans="1:21" ht="31.8" customHeight="1" x14ac:dyDescent="0.3"/>
    <row r="4" spans="1:21" ht="36.6" x14ac:dyDescent="0.7">
      <c r="A4" s="49" t="s">
        <v>41</v>
      </c>
      <c r="B4" s="50"/>
      <c r="C4" s="39"/>
      <c r="D4" s="51" t="s">
        <v>42</v>
      </c>
      <c r="E4" s="52"/>
      <c r="F4" s="39"/>
      <c r="G4" s="53" t="s">
        <v>43</v>
      </c>
      <c r="H4" s="54"/>
      <c r="I4" s="39"/>
      <c r="J4" s="51" t="s">
        <v>45</v>
      </c>
      <c r="K4" s="52"/>
    </row>
    <row r="5" spans="1:21" ht="14.4" customHeight="1" x14ac:dyDescent="0.45">
      <c r="A5" s="45">
        <f>SUM(Cleaned_Data!G:G)</f>
        <v>465000</v>
      </c>
      <c r="B5" s="46"/>
      <c r="C5" s="39"/>
      <c r="D5" s="41">
        <f>COUNTA(Cleaned_Data!A:A)-1</f>
        <v>20</v>
      </c>
      <c r="E5" s="42"/>
      <c r="F5" s="39"/>
      <c r="G5" s="41" t="s">
        <v>44</v>
      </c>
      <c r="H5" s="42"/>
      <c r="I5" s="39"/>
      <c r="J5" s="41" t="s">
        <v>9</v>
      </c>
      <c r="K5" s="42"/>
    </row>
    <row r="6" spans="1:21" ht="73.2" customHeight="1" x14ac:dyDescent="0.45">
      <c r="A6" s="47"/>
      <c r="B6" s="48"/>
      <c r="C6" s="39"/>
      <c r="D6" s="43"/>
      <c r="E6" s="44"/>
      <c r="F6" s="39"/>
      <c r="G6" s="43"/>
      <c r="H6" s="44"/>
      <c r="I6" s="39"/>
      <c r="J6" s="43"/>
      <c r="K6" s="44"/>
    </row>
    <row r="42" spans="10:10" ht="126" customHeight="1" x14ac:dyDescent="0.3"/>
    <row r="43" spans="10:10" x14ac:dyDescent="0.3">
      <c r="J43" s="27"/>
    </row>
    <row r="72" spans="1:1" ht="15" thickBot="1" x14ac:dyDescent="0.35"/>
    <row r="73" spans="1:1" ht="47.4" x14ac:dyDescent="0.9">
      <c r="A73" s="40" t="s">
        <v>46</v>
      </c>
    </row>
    <row r="74" spans="1:1" ht="6.6" customHeight="1" x14ac:dyDescent="0.3">
      <c r="A74" s="29"/>
    </row>
    <row r="75" spans="1:1" ht="36.6" x14ac:dyDescent="0.7">
      <c r="A75" s="36" t="s">
        <v>47</v>
      </c>
    </row>
    <row r="76" spans="1:1" ht="44.4" customHeight="1" x14ac:dyDescent="0.7">
      <c r="A76" s="37" t="s">
        <v>48</v>
      </c>
    </row>
    <row r="77" spans="1:1" ht="48" customHeight="1" x14ac:dyDescent="0.7">
      <c r="A77" s="37" t="s">
        <v>49</v>
      </c>
    </row>
    <row r="78" spans="1:1" ht="46.2" customHeight="1" x14ac:dyDescent="0.7">
      <c r="A78" s="37" t="s">
        <v>50</v>
      </c>
    </row>
    <row r="79" spans="1:1" ht="54.6" customHeight="1" thickBot="1" x14ac:dyDescent="0.75">
      <c r="A79" s="38" t="s">
        <v>51</v>
      </c>
    </row>
  </sheetData>
  <mergeCells count="9">
    <mergeCell ref="J4:K4"/>
    <mergeCell ref="J5:K6"/>
    <mergeCell ref="A4:B4"/>
    <mergeCell ref="A5:B6"/>
    <mergeCell ref="D4:E4"/>
    <mergeCell ref="D5:E6"/>
    <mergeCell ref="G4:H4"/>
    <mergeCell ref="G5:H6"/>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Vedanshu Yadav</dc:creator>
  <cp:lastModifiedBy>Vedanshu Yadav</cp:lastModifiedBy>
  <dcterms:created xsi:type="dcterms:W3CDTF">2026-05-29T05:32:27Z</dcterms:created>
  <dcterms:modified xsi:type="dcterms:W3CDTF">2026-05-30T11:44:51Z</dcterms:modified>
</cp:coreProperties>
</file>